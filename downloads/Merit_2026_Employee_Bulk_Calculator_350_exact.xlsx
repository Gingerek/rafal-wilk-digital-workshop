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1685c6d0b46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c6d0546b22104485"/>
    <x:sheet xmlns:r="http://schemas.openxmlformats.org/officeDocument/2006/relationships" name="Data" sheetId="2" r:id="R3d4bc1ee175c46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0ddb8d90d04131" /><Relationship Type="http://schemas.openxmlformats.org/officeDocument/2006/relationships/theme" Target="/xl/theme/theme1.xml" Id="R77dedde6d0c74456" /><Relationship Type="http://schemas.openxmlformats.org/officeDocument/2006/relationships/sharedStrings" Target="/xl/sharedStrings.xml" Id="R198febc656aa447d" /><Relationship Type="http://schemas.openxmlformats.org/officeDocument/2006/relationships/worksheet" Target="/xl/worksheets/sheet1.xml" Id="Rc6d0546b22104485" /><Relationship Type="http://schemas.openxmlformats.org/officeDocument/2006/relationships/worksheet" Target="/xl/worksheets/sheet2.xml" Id="R3d4bc1ee175c46f3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c3a15225444d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</x:row>
    <x:row r="5" ht="22" customHeight="1">
      <x:c r="A5" s="29"/>
      <x:c r="B5" s="30"/>
      <x:c r="C5" s="58"/>
      <x:c r="D5" s="49" t="str">
        <x:f>IF($B5="","",IF(OR(RIGHT(TRIM($B5),2)="P1",RIGHT(TRIM($B5),2)="P2",RIGHT(TRIM($B5),2)="P3",RIGHT(TRIM($B5),2)="P4"),"PS","GS"))</x:f>
      </x:c>
      <x:c r="E5" s="61" t="str">
        <x:f>IF($D5="","",IF($D5="PS",'Data'!$O$5,'Data'!$O$4))</x:f>
      </x:c>
      <x:c r="F5" s="50" t="str">
        <x:f>IF($B5="","",IFERROR(VLOOKUP($B5,'Data'!$A$2:$B$113,2,FALSE),""))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</x:row>
    <x:row r="6" ht="22" customHeight="1">
      <x:c r="A6" s="32"/>
      <x:c r="B6" s="33"/>
      <x:c r="C6" s="59"/>
      <x:c r="D6" s="52" t="str">
        <x:f>IF($B6="","",IF(OR(RIGHT(TRIM($B6),2)="P2",RIGHT(TRIM($B6),2)="P3",RIGHT(TRIM($B6),2)="P4",RIGHT(TRIM($B6),2)="P5"),"PS","GS"))</x:f>
      </x:c>
      <x:c r="E6" s="62" t="str">
        <x:f>IF($D6="","",IF($D6="PS",'Data'!$O$5,'Data'!$O$4))</x:f>
      </x:c>
      <x:c r="F6" s="53" t="str">
        <x:f>IF($B6="","",IFERROR(VLOOKUP($B6,'Data'!$A$2:$B$113,2,FALSE),""))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</x:row>
    <x:row r="7" ht="22" customHeight="1">
      <x:c r="A7" s="32"/>
      <x:c r="B7" s="33"/>
      <x:c r="C7" s="59"/>
      <x:c r="D7" s="52" t="str">
        <x:f>IF($B7="","",IF(OR(RIGHT(TRIM($B7),2)="P3",RIGHT(TRIM($B7),2)="P4",RIGHT(TRIM($B7),2)="P5",RIGHT(TRIM($B7),2)="P6"),"PS","GS"))</x:f>
      </x:c>
      <x:c r="E7" s="62" t="str">
        <x:f>IF($D7="","",IF($D7="PS",'Data'!$O$5,'Data'!$O$4))</x:f>
      </x:c>
      <x:c r="F7" s="53" t="str">
        <x:f>IF($B7="","",IFERROR(VLOOKUP($B7,'Data'!$A$2:$B$113,2,FALSE),""))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</x:row>
    <x:row r="8" ht="22" customHeight="1">
      <x:c r="A8" s="32"/>
      <x:c r="B8" s="33"/>
      <x:c r="C8" s="59"/>
      <x:c r="D8" s="52" t="str">
        <x:f>IF($B8="","",IF(OR(RIGHT(TRIM($B8),2)="P4",RIGHT(TRIM($B8),2)="P5",RIGHT(TRIM($B8),2)="P6",RIGHT(TRIM($B8),2)="P7"),"PS","GS"))</x:f>
      </x:c>
      <x:c r="E8" s="62" t="str">
        <x:f>IF($D8="","",IF($D8="PS",'Data'!$O$5,'Data'!$O$4))</x:f>
      </x:c>
      <x:c r="F8" s="53" t="str">
        <x:f>IF($B8="","",IFERROR(VLOOKUP($B8,'Data'!$A$2:$B$113,2,FALSE),""))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</x:row>
    <x:row r="9" ht="22" customHeight="1">
      <x:c r="A9" s="32"/>
      <x:c r="B9" s="33"/>
      <x:c r="C9" s="59"/>
      <x:c r="D9" s="52" t="str">
        <x:f>IF($B9="","",IF(OR(RIGHT(TRIM($B9),2)="P5",RIGHT(TRIM($B9),2)="P6",RIGHT(TRIM($B9),2)="P7",RIGHT(TRIM($B9),2)="P8"),"PS","GS"))</x:f>
      </x:c>
      <x:c r="E9" s="62" t="str">
        <x:f>IF($D9="","",IF($D9="PS",'Data'!$O$5,'Data'!$O$4))</x:f>
      </x:c>
      <x:c r="F9" s="53" t="str">
        <x:f>IF($B9="","",IFERROR(VLOOKUP($B9,'Data'!$A$2:$B$113,2,FALSE),""))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</x:row>
    <x:row r="10" ht="22" customHeight="1">
      <x:c r="A10" s="32"/>
      <x:c r="B10" s="33"/>
      <x:c r="C10" s="59"/>
      <x:c r="D10" s="52" t="str">
        <x:f>IF($B10="","",IF(OR(RIGHT(TRIM($B10),2)="P6",RIGHT(TRIM($B10),2)="P7",RIGHT(TRIM($B10),2)="P8",RIGHT(TRIM($B10),2)="P9"),"PS","GS"))</x:f>
      </x:c>
      <x:c r="E10" s="62" t="str">
        <x:f>IF($D10="","",IF($D10="PS",'Data'!$O$5,'Data'!$O$4))</x:f>
      </x:c>
      <x:c r="F10" s="53" t="str">
        <x:f>IF($B10="","",IFERROR(VLOOKUP($B10,'Data'!$A$2:$B$113,2,FALSE),""))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</x:row>
    <x:row r="11" ht="22" customHeight="1">
      <x:c r="A11" s="32"/>
      <x:c r="B11" s="33"/>
      <x:c r="C11" s="59"/>
      <x:c r="D11" s="52" t="str">
        <x:f>IF($B11="","",IF(OR(RIGHT(TRIM($B11),2)="P7",RIGHT(TRIM($B11),2)="P8",RIGHT(TRIM($B11),2)="P9",RIGHT(TRIM($B11),2)="P10"),"PS","GS"))</x:f>
      </x:c>
      <x:c r="E11" s="62" t="str">
        <x:f>IF($D11="","",IF($D11="PS",'Data'!$O$5,'Data'!$O$4))</x:f>
      </x:c>
      <x:c r="F11" s="53" t="str">
        <x:f>IF($B11="","",IFERROR(VLOOKUP($B11,'Data'!$A$2:$B$113,2,FALSE),""))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</x:row>
    <x:row r="12" ht="22" customHeight="1">
      <x:c r="A12" s="32"/>
      <x:c r="B12" s="33"/>
      <x:c r="C12" s="59"/>
      <x:c r="D12" s="52" t="str">
        <x:f>IF($B12="","",IF(OR(RIGHT(TRIM($B12),2)="P8",RIGHT(TRIM($B12),2)="P9",RIGHT(TRIM($B12),2)="P10",RIGHT(TRIM($B12),2)="P11"),"PS","GS"))</x:f>
      </x:c>
      <x:c r="E12" s="62" t="str">
        <x:f>IF($D12="","",IF($D12="PS",'Data'!$O$5,'Data'!$O$4))</x:f>
      </x:c>
      <x:c r="F12" s="53" t="str">
        <x:f>IF($B12="","",IFERROR(VLOOKUP($B12,'Data'!$A$2:$B$113,2,FALSE),""))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</x:row>
    <x:row r="13" ht="22" customHeight="1">
      <x:c r="A13" s="32"/>
      <x:c r="B13" s="33"/>
      <x:c r="C13" s="59"/>
      <x:c r="D13" s="52" t="str">
        <x:f>IF($B13="","",IF(OR(RIGHT(TRIM($B13),2)="P9",RIGHT(TRIM($B13),2)="P10",RIGHT(TRIM($B13),2)="P11",RIGHT(TRIM($B13),2)="P12"),"PS","GS"))</x:f>
      </x:c>
      <x:c r="E13" s="62" t="str">
        <x:f>IF($D13="","",IF($D13="PS",'Data'!$O$5,'Data'!$O$4))</x:f>
      </x:c>
      <x:c r="F13" s="53" t="str">
        <x:f>IF($B13="","",IFERROR(VLOOKUP($B13,'Data'!$A$2:$B$113,2,FALSE),""))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</x:row>
    <x:row r="14" ht="22" customHeight="1">
      <x:c r="A14" s="32"/>
      <x:c r="B14" s="33"/>
      <x:c r="C14" s="59"/>
      <x:c r="D14" s="52" t="str">
        <x:f>IF($B14="","",IF(OR(RIGHT(TRIM($B14),2)="P10",RIGHT(TRIM($B14),2)="P11",RIGHT(TRIM($B14),2)="P12",RIGHT(TRIM($B14),2)="P13"),"PS","GS"))</x:f>
      </x:c>
      <x:c r="E14" s="62" t="str">
        <x:f>IF($D14="","",IF($D14="PS",'Data'!$O$5,'Data'!$O$4))</x:f>
      </x:c>
      <x:c r="F14" s="53" t="str">
        <x:f>IF($B14="","",IFERROR(VLOOKUP($B14,'Data'!$A$2:$B$113,2,FALSE),""))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</x:row>
    <x:row r="15" ht="22" customHeight="1">
      <x:c r="A15" s="32"/>
      <x:c r="B15" s="33"/>
      <x:c r="C15" s="59"/>
      <x:c r="D15" s="52" t="str">
        <x:f>IF($B15="","",IF(OR(RIGHT(TRIM($B15),2)="P11",RIGHT(TRIM($B15),2)="P12",RIGHT(TRIM($B15),2)="P13",RIGHT(TRIM($B15),2)="P14"),"PS","GS"))</x:f>
      </x:c>
      <x:c r="E15" s="62" t="str">
        <x:f>IF($D15="","",IF($D15="PS",'Data'!$O$5,'Data'!$O$4))</x:f>
      </x:c>
      <x:c r="F15" s="53" t="str">
        <x:f>IF($B15="","",IFERROR(VLOOKUP($B15,'Data'!$A$2:$B$113,2,FALSE),""))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</x:row>
    <x:row r="16" ht="22" customHeight="1">
      <x:c r="A16" s="32"/>
      <x:c r="B16" s="33"/>
      <x:c r="C16" s="59"/>
      <x:c r="D16" s="52" t="str">
        <x:f>IF($B16="","",IF(OR(RIGHT(TRIM($B16),2)="P12",RIGHT(TRIM($B16),2)="P13",RIGHT(TRIM($B16),2)="P14",RIGHT(TRIM($B16),2)="P15"),"PS","GS"))</x:f>
      </x:c>
      <x:c r="E16" s="62" t="str">
        <x:f>IF($D16="","",IF($D16="PS",'Data'!$O$5,'Data'!$O$4))</x:f>
      </x:c>
      <x:c r="F16" s="53" t="str">
        <x:f>IF($B16="","",IFERROR(VLOOKUP($B16,'Data'!$A$2:$B$113,2,FALSE),""))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</x:row>
    <x:row r="17" ht="22" customHeight="1">
      <x:c r="A17" s="32"/>
      <x:c r="B17" s="33"/>
      <x:c r="C17" s="59"/>
      <x:c r="D17" s="52" t="str">
        <x:f>IF($B17="","",IF(OR(RIGHT(TRIM($B17),2)="P13",RIGHT(TRIM($B17),2)="P14",RIGHT(TRIM($B17),2)="P15",RIGHT(TRIM($B17),2)="P16"),"PS","GS"))</x:f>
      </x:c>
      <x:c r="E17" s="62" t="str">
        <x:f>IF($D17="","",IF($D17="PS",'Data'!$O$5,'Data'!$O$4))</x:f>
      </x:c>
      <x:c r="F17" s="53" t="str">
        <x:f>IF($B17="","",IFERROR(VLOOKUP($B17,'Data'!$A$2:$B$113,2,FALSE),""))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</x:row>
    <x:row r="18" ht="22" customHeight="1">
      <x:c r="A18" s="32"/>
      <x:c r="B18" s="33"/>
      <x:c r="C18" s="59"/>
      <x:c r="D18" s="52" t="str">
        <x:f>IF($B18="","",IF(OR(RIGHT(TRIM($B18),2)="P14",RIGHT(TRIM($B18),2)="P15",RIGHT(TRIM($B18),2)="P16",RIGHT(TRIM($B18),2)="P17"),"PS","GS"))</x:f>
      </x:c>
      <x:c r="E18" s="62" t="str">
        <x:f>IF($D18="","",IF($D18="PS",'Data'!$O$5,'Data'!$O$4))</x:f>
      </x:c>
      <x:c r="F18" s="53" t="str">
        <x:f>IF($B18="","",IFERROR(VLOOKUP($B18,'Data'!$A$2:$B$113,2,FALSE),""))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</x:row>
    <x:row r="19" ht="22" customHeight="1">
      <x:c r="A19" s="32"/>
      <x:c r="B19" s="33"/>
      <x:c r="C19" s="59"/>
      <x:c r="D19" s="52" t="str">
        <x:f>IF($B19="","",IF(OR(RIGHT(TRIM($B19),2)="P15",RIGHT(TRIM($B19),2)="P16",RIGHT(TRIM($B19),2)="P17",RIGHT(TRIM($B19),2)="P18"),"PS","GS"))</x:f>
      </x:c>
      <x:c r="E19" s="62" t="str">
        <x:f>IF($D19="","",IF($D19="PS",'Data'!$O$5,'Data'!$O$4))</x:f>
      </x:c>
      <x:c r="F19" s="53" t="str">
        <x:f>IF($B19="","",IFERROR(VLOOKUP($B19,'Data'!$A$2:$B$113,2,FALSE),""))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</x:row>
    <x:row r="20" ht="22" customHeight="1">
      <x:c r="A20" s="32"/>
      <x:c r="B20" s="33"/>
      <x:c r="C20" s="59"/>
      <x:c r="D20" s="52" t="str">
        <x:f>IF($B20="","",IF(OR(RIGHT(TRIM($B20),2)="P16",RIGHT(TRIM($B20),2)="P17",RIGHT(TRIM($B20),2)="P18",RIGHT(TRIM($B20),2)="P19"),"PS","GS"))</x:f>
      </x:c>
      <x:c r="E20" s="62" t="str">
        <x:f>IF($D20="","",IF($D20="PS",'Data'!$O$5,'Data'!$O$4))</x:f>
      </x:c>
      <x:c r="F20" s="53" t="str">
        <x:f>IF($B20="","",IFERROR(VLOOKUP($B20,'Data'!$A$2:$B$113,2,FALSE),""))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</x:row>
    <x:row r="21" ht="22" customHeight="1">
      <x:c r="A21" s="32"/>
      <x:c r="B21" s="33"/>
      <x:c r="C21" s="59"/>
      <x:c r="D21" s="52" t="str">
        <x:f>IF($B21="","",IF(OR(RIGHT(TRIM($B21),2)="P17",RIGHT(TRIM($B21),2)="P18",RIGHT(TRIM($B21),2)="P19",RIGHT(TRIM($B21),2)="P20"),"PS","GS"))</x:f>
      </x:c>
      <x:c r="E21" s="62" t="str">
        <x:f>IF($D21="","",IF($D21="PS",'Data'!$O$5,'Data'!$O$4))</x:f>
      </x:c>
      <x:c r="F21" s="53" t="str">
        <x:f>IF($B21="","",IFERROR(VLOOKUP($B21,'Data'!$A$2:$B$113,2,FALSE),""))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</x:row>
    <x:row r="22" ht="22" customHeight="1">
      <x:c r="A22" s="32"/>
      <x:c r="B22" s="33"/>
      <x:c r="C22" s="59"/>
      <x:c r="D22" s="52" t="str">
        <x:f>IF($B22="","",IF(OR(RIGHT(TRIM($B22),2)="P18",RIGHT(TRIM($B22),2)="P19",RIGHT(TRIM($B22),2)="P20",RIGHT(TRIM($B22),2)="P21"),"PS","GS"))</x:f>
      </x:c>
      <x:c r="E22" s="62" t="str">
        <x:f>IF($D22="","",IF($D22="PS",'Data'!$O$5,'Data'!$O$4))</x:f>
      </x:c>
      <x:c r="F22" s="53" t="str">
        <x:f>IF($B22="","",IFERROR(VLOOKUP($B22,'Data'!$A$2:$B$113,2,FALSE),""))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</x:row>
    <x:row r="23" ht="22" customHeight="1">
      <x:c r="A23" s="32"/>
      <x:c r="B23" s="33"/>
      <x:c r="C23" s="59"/>
      <x:c r="D23" s="52" t="str">
        <x:f>IF($B23="","",IF(OR(RIGHT(TRIM($B23),2)="P19",RIGHT(TRIM($B23),2)="P20",RIGHT(TRIM($B23),2)="P21",RIGHT(TRIM($B23),2)="P22"),"PS","GS"))</x:f>
      </x:c>
      <x:c r="E23" s="62" t="str">
        <x:f>IF($D23="","",IF($D23="PS",'Data'!$O$5,'Data'!$O$4))</x:f>
      </x:c>
      <x:c r="F23" s="53" t="str">
        <x:f>IF($B23="","",IFERROR(VLOOKUP($B23,'Data'!$A$2:$B$113,2,FALSE),""))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</x:row>
    <x:row r="24" ht="22" customHeight="1">
      <x:c r="A24" s="32"/>
      <x:c r="B24" s="33"/>
      <x:c r="C24" s="59"/>
      <x:c r="D24" s="52" t="str">
        <x:f>IF($B24="","",IF(OR(RIGHT(TRIM($B24),2)="P20",RIGHT(TRIM($B24),2)="P21",RIGHT(TRIM($B24),2)="P22",RIGHT(TRIM($B24),2)="P23"),"PS","GS"))</x:f>
      </x:c>
      <x:c r="E24" s="62" t="str">
        <x:f>IF($D24="","",IF($D24="PS",'Data'!$O$5,'Data'!$O$4))</x:f>
      </x:c>
      <x:c r="F24" s="53" t="str">
        <x:f>IF($B24="","",IFERROR(VLOOKUP($B24,'Data'!$A$2:$B$113,2,FALSE),""))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</x:row>
    <x:row r="25" ht="22" customHeight="1">
      <x:c r="A25" s="32"/>
      <x:c r="B25" s="33"/>
      <x:c r="C25" s="59"/>
      <x:c r="D25" s="52" t="str">
        <x:f>IF($B25="","",IF(OR(RIGHT(TRIM($B25),2)="P21",RIGHT(TRIM($B25),2)="P22",RIGHT(TRIM($B25),2)="P23",RIGHT(TRIM($B25),2)="P24"),"PS","GS"))</x:f>
      </x:c>
      <x:c r="E25" s="62" t="str">
        <x:f>IF($D25="","",IF($D25="PS",'Data'!$O$5,'Data'!$O$4))</x:f>
      </x:c>
      <x:c r="F25" s="53" t="str">
        <x:f>IF($B25="","",IFERROR(VLOOKUP($B25,'Data'!$A$2:$B$113,2,FALSE),""))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</x:row>
    <x:row r="26" ht="22" customHeight="1">
      <x:c r="A26" s="32"/>
      <x:c r="B26" s="33"/>
      <x:c r="C26" s="59"/>
      <x:c r="D26" s="52" t="str">
        <x:f>IF($B26="","",IF(OR(RIGHT(TRIM($B26),2)="P22",RIGHT(TRIM($B26),2)="P23",RIGHT(TRIM($B26),2)="P24",RIGHT(TRIM($B26),2)="P25"),"PS","GS"))</x:f>
      </x:c>
      <x:c r="E26" s="62" t="str">
        <x:f>IF($D26="","",IF($D26="PS",'Data'!$O$5,'Data'!$O$4))</x:f>
      </x:c>
      <x:c r="F26" s="53" t="str">
        <x:f>IF($B26="","",IFERROR(VLOOKUP($B26,'Data'!$A$2:$B$113,2,FALSE),""))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</x:row>
    <x:row r="27" ht="22" customHeight="1">
      <x:c r="A27" s="32"/>
      <x:c r="B27" s="33"/>
      <x:c r="C27" s="59"/>
      <x:c r="D27" s="52" t="str">
        <x:f>IF($B27="","",IF(OR(RIGHT(TRIM($B27),2)="P23",RIGHT(TRIM($B27),2)="P24",RIGHT(TRIM($B27),2)="P25",RIGHT(TRIM($B27),2)="P26"),"PS","GS"))</x:f>
      </x:c>
      <x:c r="E27" s="62" t="str">
        <x:f>IF($D27="","",IF($D27="PS",'Data'!$O$5,'Data'!$O$4))</x:f>
      </x:c>
      <x:c r="F27" s="53" t="str">
        <x:f>IF($B27="","",IFERROR(VLOOKUP($B27,'Data'!$A$2:$B$113,2,FALSE),""))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</x:row>
    <x:row r="28" ht="22" customHeight="1">
      <x:c r="A28" s="32"/>
      <x:c r="B28" s="33"/>
      <x:c r="C28" s="59"/>
      <x:c r="D28" s="52" t="str">
        <x:f>IF($B28="","",IF(OR(RIGHT(TRIM($B28),2)="P24",RIGHT(TRIM($B28),2)="P25",RIGHT(TRIM($B28),2)="P26",RIGHT(TRIM($B28),2)="P27"),"PS","GS"))</x:f>
      </x:c>
      <x:c r="E28" s="62" t="str">
        <x:f>IF($D28="","",IF($D28="PS",'Data'!$O$5,'Data'!$O$4))</x:f>
      </x:c>
      <x:c r="F28" s="53" t="str">
        <x:f>IF($B28="","",IFERROR(VLOOKUP($B28,'Data'!$A$2:$B$113,2,FALSE),""))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</x:row>
    <x:row r="29" ht="22" customHeight="1">
      <x:c r="A29" s="32"/>
      <x:c r="B29" s="33"/>
      <x:c r="C29" s="59"/>
      <x:c r="D29" s="52" t="str">
        <x:f>IF($B29="","",IF(OR(RIGHT(TRIM($B29),2)="P25",RIGHT(TRIM($B29),2)="P26",RIGHT(TRIM($B29),2)="P27",RIGHT(TRIM($B29),2)="P28"),"PS","GS"))</x:f>
      </x:c>
      <x:c r="E29" s="62" t="str">
        <x:f>IF($D29="","",IF($D29="PS",'Data'!$O$5,'Data'!$O$4))</x:f>
      </x:c>
      <x:c r="F29" s="53" t="str">
        <x:f>IF($B29="","",IFERROR(VLOOKUP($B29,'Data'!$A$2:$B$113,2,FALSE),""))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</x:row>
    <x:row r="30" ht="22" customHeight="1">
      <x:c r="A30" s="32"/>
      <x:c r="B30" s="33"/>
      <x:c r="C30" s="59"/>
      <x:c r="D30" s="52" t="str">
        <x:f>IF($B30="","",IF(OR(RIGHT(TRIM($B30),2)="P26",RIGHT(TRIM($B30),2)="P27",RIGHT(TRIM($B30),2)="P28",RIGHT(TRIM($B30),2)="P29"),"PS","GS"))</x:f>
      </x:c>
      <x:c r="E30" s="62" t="str">
        <x:f>IF($D30="","",IF($D30="PS",'Data'!$O$5,'Data'!$O$4))</x:f>
      </x:c>
      <x:c r="F30" s="53" t="str">
        <x:f>IF($B30="","",IFERROR(VLOOKUP($B30,'Data'!$A$2:$B$113,2,FALSE),""))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</x:row>
    <x:row r="31" ht="22" customHeight="1">
      <x:c r="A31" s="32"/>
      <x:c r="B31" s="33"/>
      <x:c r="C31" s="59"/>
      <x:c r="D31" s="52" t="str">
        <x:f>IF($B31="","",IF(OR(RIGHT(TRIM($B31),2)="P27",RIGHT(TRIM($B31),2)="P28",RIGHT(TRIM($B31),2)="P29",RIGHT(TRIM($B31),2)="P30"),"PS","GS"))</x:f>
      </x:c>
      <x:c r="E31" s="62" t="str">
        <x:f>IF($D31="","",IF($D31="PS",'Data'!$O$5,'Data'!$O$4))</x:f>
      </x:c>
      <x:c r="F31" s="53" t="str">
        <x:f>IF($B31="","",IFERROR(VLOOKUP($B31,'Data'!$A$2:$B$113,2,FALSE),""))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</x:row>
    <x:row r="32" ht="22" customHeight="1">
      <x:c r="A32" s="32"/>
      <x:c r="B32" s="33"/>
      <x:c r="C32" s="59"/>
      <x:c r="D32" s="52" t="str">
        <x:f>IF($B32="","",IF(OR(RIGHT(TRIM($B32),2)="P28",RIGHT(TRIM($B32),2)="P29",RIGHT(TRIM($B32),2)="P30",RIGHT(TRIM($B32),2)="P31"),"PS","GS"))</x:f>
      </x:c>
      <x:c r="E32" s="62" t="str">
        <x:f>IF($D32="","",IF($D32="PS",'Data'!$O$5,'Data'!$O$4))</x:f>
      </x:c>
      <x:c r="F32" s="53" t="str">
        <x:f>IF($B32="","",IFERROR(VLOOKUP($B32,'Data'!$A$2:$B$113,2,FALSE),""))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</x:row>
    <x:row r="33" ht="22" customHeight="1">
      <x:c r="A33" s="32"/>
      <x:c r="B33" s="33"/>
      <x:c r="C33" s="59"/>
      <x:c r="D33" s="52" t="str">
        <x:f>IF($B33="","",IF(OR(RIGHT(TRIM($B33),2)="P29",RIGHT(TRIM($B33),2)="P30",RIGHT(TRIM($B33),2)="P31",RIGHT(TRIM($B33),2)="P32"),"PS","GS"))</x:f>
      </x:c>
      <x:c r="E33" s="62" t="str">
        <x:f>IF($D33="","",IF($D33="PS",'Data'!$O$5,'Data'!$O$4))</x:f>
      </x:c>
      <x:c r="F33" s="53" t="str">
        <x:f>IF($B33="","",IFERROR(VLOOKUP($B33,'Data'!$A$2:$B$113,2,FALSE),""))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</x:row>
    <x:row r="34" ht="22" customHeight="1">
      <x:c r="A34" s="32"/>
      <x:c r="B34" s="33"/>
      <x:c r="C34" s="59"/>
      <x:c r="D34" s="52" t="str">
        <x:f>IF($B34="","",IF(OR(RIGHT(TRIM($B34),2)="P30",RIGHT(TRIM($B34),2)="P31",RIGHT(TRIM($B34),2)="P32",RIGHT(TRIM($B34),2)="P33"),"PS","GS"))</x:f>
      </x:c>
      <x:c r="E34" s="62" t="str">
        <x:f>IF($D34="","",IF($D34="PS",'Data'!$O$5,'Data'!$O$4))</x:f>
      </x:c>
      <x:c r="F34" s="53" t="str">
        <x:f>IF($B34="","",IFERROR(VLOOKUP($B34,'Data'!$A$2:$B$113,2,FALSE),""))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</x:row>
    <x:row r="35" ht="22" customHeight="1">
      <x:c r="A35" s="32"/>
      <x:c r="B35" s="33"/>
      <x:c r="C35" s="59"/>
      <x:c r="D35" s="52" t="str">
        <x:f>IF($B35="","",IF(OR(RIGHT(TRIM($B35),2)="P31",RIGHT(TRIM($B35),2)="P32",RIGHT(TRIM($B35),2)="P33",RIGHT(TRIM($B35),2)="P34"),"PS","GS"))</x:f>
      </x:c>
      <x:c r="E35" s="62" t="str">
        <x:f>IF($D35="","",IF($D35="PS",'Data'!$O$5,'Data'!$O$4))</x:f>
      </x:c>
      <x:c r="F35" s="53" t="str">
        <x:f>IF($B35="","",IFERROR(VLOOKUP($B35,'Data'!$A$2:$B$113,2,FALSE),""))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</x:row>
    <x:row r="36" ht="22" customHeight="1">
      <x:c r="A36" s="32"/>
      <x:c r="B36" s="33"/>
      <x:c r="C36" s="59"/>
      <x:c r="D36" s="52" t="str">
        <x:f>IF($B36="","",IF(OR(RIGHT(TRIM($B36),2)="P32",RIGHT(TRIM($B36),2)="P33",RIGHT(TRIM($B36),2)="P34",RIGHT(TRIM($B36),2)="P35"),"PS","GS"))</x:f>
      </x:c>
      <x:c r="E36" s="62" t="str">
        <x:f>IF($D36="","",IF($D36="PS",'Data'!$O$5,'Data'!$O$4))</x:f>
      </x:c>
      <x:c r="F36" s="53" t="str">
        <x:f>IF($B36="","",IFERROR(VLOOKUP($B36,'Data'!$A$2:$B$113,2,FALSE),""))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</x:row>
    <x:row r="37" ht="22" customHeight="1">
      <x:c r="A37" s="32"/>
      <x:c r="B37" s="33"/>
      <x:c r="C37" s="59"/>
      <x:c r="D37" s="52" t="str">
        <x:f>IF($B37="","",IF(OR(RIGHT(TRIM($B37),2)="P33",RIGHT(TRIM($B37),2)="P34",RIGHT(TRIM($B37),2)="P35",RIGHT(TRIM($B37),2)="P36"),"PS","GS"))</x:f>
      </x:c>
      <x:c r="E37" s="62" t="str">
        <x:f>IF($D37="","",IF($D37="PS",'Data'!$O$5,'Data'!$O$4))</x:f>
      </x:c>
      <x:c r="F37" s="53" t="str">
        <x:f>IF($B37="","",IFERROR(VLOOKUP($B37,'Data'!$A$2:$B$113,2,FALSE),""))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</x:row>
    <x:row r="38" ht="22" customHeight="1">
      <x:c r="A38" s="32"/>
      <x:c r="B38" s="33"/>
      <x:c r="C38" s="59"/>
      <x:c r="D38" s="52" t="str">
        <x:f>IF($B38="","",IF(OR(RIGHT(TRIM($B38),2)="P34",RIGHT(TRIM($B38),2)="P35",RIGHT(TRIM($B38),2)="P36",RIGHT(TRIM($B38),2)="P37"),"PS","GS"))</x:f>
      </x:c>
      <x:c r="E38" s="62" t="str">
        <x:f>IF($D38="","",IF($D38="PS",'Data'!$O$5,'Data'!$O$4))</x:f>
      </x:c>
      <x:c r="F38" s="53" t="str">
        <x:f>IF($B38="","",IFERROR(VLOOKUP($B38,'Data'!$A$2:$B$113,2,FALSE),""))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</x:row>
    <x:row r="39" ht="22" customHeight="1">
      <x:c r="A39" s="32"/>
      <x:c r="B39" s="33"/>
      <x:c r="C39" s="59"/>
      <x:c r="D39" s="52" t="str">
        <x:f>IF($B39="","",IF(OR(RIGHT(TRIM($B39),2)="P35",RIGHT(TRIM($B39),2)="P36",RIGHT(TRIM($B39),2)="P37",RIGHT(TRIM($B39),2)="P38"),"PS","GS"))</x:f>
      </x:c>
      <x:c r="E39" s="62" t="str">
        <x:f>IF($D39="","",IF($D39="PS",'Data'!$O$5,'Data'!$O$4))</x:f>
      </x:c>
      <x:c r="F39" s="53" t="str">
        <x:f>IF($B39="","",IFERROR(VLOOKUP($B39,'Data'!$A$2:$B$113,2,FALSE),""))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</x:row>
    <x:row r="40" ht="22" customHeight="1">
      <x:c r="A40" s="32"/>
      <x:c r="B40" s="33"/>
      <x:c r="C40" s="59"/>
      <x:c r="D40" s="52" t="str">
        <x:f>IF($B40="","",IF(OR(RIGHT(TRIM($B40),2)="P36",RIGHT(TRIM($B40),2)="P37",RIGHT(TRIM($B40),2)="P38",RIGHT(TRIM($B40),2)="P39"),"PS","GS"))</x:f>
      </x:c>
      <x:c r="E40" s="62" t="str">
        <x:f>IF($D40="","",IF($D40="PS",'Data'!$O$5,'Data'!$O$4))</x:f>
      </x:c>
      <x:c r="F40" s="53" t="str">
        <x:f>IF($B40="","",IFERROR(VLOOKUP($B40,'Data'!$A$2:$B$113,2,FALSE),""))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</x:row>
    <x:row r="41" ht="22" customHeight="1">
      <x:c r="A41" s="32"/>
      <x:c r="B41" s="33"/>
      <x:c r="C41" s="59"/>
      <x:c r="D41" s="52" t="str">
        <x:f>IF($B41="","",IF(OR(RIGHT(TRIM($B41),2)="P37",RIGHT(TRIM($B41),2)="P38",RIGHT(TRIM($B41),2)="P39",RIGHT(TRIM($B41),2)="P40"),"PS","GS"))</x:f>
      </x:c>
      <x:c r="E41" s="62" t="str">
        <x:f>IF($D41="","",IF($D41="PS",'Data'!$O$5,'Data'!$O$4))</x:f>
      </x:c>
      <x:c r="F41" s="53" t="str">
        <x:f>IF($B41="","",IFERROR(VLOOKUP($B41,'Data'!$A$2:$B$113,2,FALSE),""))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</x:row>
    <x:row r="42" ht="22" customHeight="1">
      <x:c r="A42" s="32"/>
      <x:c r="B42" s="33"/>
      <x:c r="C42" s="59"/>
      <x:c r="D42" s="52" t="str">
        <x:f>IF($B42="","",IF(OR(RIGHT(TRIM($B42),2)="P38",RIGHT(TRIM($B42),2)="P39",RIGHT(TRIM($B42),2)="P40",RIGHT(TRIM($B42),2)="P41"),"PS","GS"))</x:f>
      </x:c>
      <x:c r="E42" s="62" t="str">
        <x:f>IF($D42="","",IF($D42="PS",'Data'!$O$5,'Data'!$O$4))</x:f>
      </x:c>
      <x:c r="F42" s="53" t="str">
        <x:f>IF($B42="","",IFERROR(VLOOKUP($B42,'Data'!$A$2:$B$113,2,FALSE),""))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</x:row>
    <x:row r="43" ht="22" customHeight="1">
      <x:c r="A43" s="32"/>
      <x:c r="B43" s="33"/>
      <x:c r="C43" s="59"/>
      <x:c r="D43" s="52" t="str">
        <x:f>IF($B43="","",IF(OR(RIGHT(TRIM($B43),2)="P39",RIGHT(TRIM($B43),2)="P40",RIGHT(TRIM($B43),2)="P41",RIGHT(TRIM($B43),2)="P42"),"PS","GS"))</x:f>
      </x:c>
      <x:c r="E43" s="62" t="str">
        <x:f>IF($D43="","",IF($D43="PS",'Data'!$O$5,'Data'!$O$4))</x:f>
      </x:c>
      <x:c r="F43" s="53" t="str">
        <x:f>IF($B43="","",IFERROR(VLOOKUP($B43,'Data'!$A$2:$B$113,2,FALSE),""))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</x:row>
    <x:row r="44" ht="22" customHeight="1">
      <x:c r="A44" s="32"/>
      <x:c r="B44" s="33"/>
      <x:c r="C44" s="59"/>
      <x:c r="D44" s="52" t="str">
        <x:f>IF($B44="","",IF(OR(RIGHT(TRIM($B44),2)="P40",RIGHT(TRIM($B44),2)="P41",RIGHT(TRIM($B44),2)="P42",RIGHT(TRIM($B44),2)="P43"),"PS","GS"))</x:f>
      </x:c>
      <x:c r="E44" s="62" t="str">
        <x:f>IF($D44="","",IF($D44="PS",'Data'!$O$5,'Data'!$O$4))</x:f>
      </x:c>
      <x:c r="F44" s="53" t="str">
        <x:f>IF($B44="","",IFERROR(VLOOKUP($B44,'Data'!$A$2:$B$113,2,FALSE),""))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</x:row>
    <x:row r="45" ht="22" customHeight="1">
      <x:c r="A45" s="32"/>
      <x:c r="B45" s="33"/>
      <x:c r="C45" s="59"/>
      <x:c r="D45" s="52" t="str">
        <x:f>IF($B45="","",IF(OR(RIGHT(TRIM($B45),2)="P41",RIGHT(TRIM($B45),2)="P42",RIGHT(TRIM($B45),2)="P43",RIGHT(TRIM($B45),2)="P44"),"PS","GS"))</x:f>
      </x:c>
      <x:c r="E45" s="62" t="str">
        <x:f>IF($D45="","",IF($D45="PS",'Data'!$O$5,'Data'!$O$4))</x:f>
      </x:c>
      <x:c r="F45" s="53" t="str">
        <x:f>IF($B45="","",IFERROR(VLOOKUP($B45,'Data'!$A$2:$B$113,2,FALSE),""))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</x:row>
    <x:row r="46" ht="22" customHeight="1">
      <x:c r="A46" s="32"/>
      <x:c r="B46" s="33"/>
      <x:c r="C46" s="59"/>
      <x:c r="D46" s="52" t="str">
        <x:f>IF($B46="","",IF(OR(RIGHT(TRIM($B46),2)="P42",RIGHT(TRIM($B46),2)="P43",RIGHT(TRIM($B46),2)="P44",RIGHT(TRIM($B46),2)="P45"),"PS","GS"))</x:f>
      </x:c>
      <x:c r="E46" s="62" t="str">
        <x:f>IF($D46="","",IF($D46="PS",'Data'!$O$5,'Data'!$O$4))</x:f>
      </x:c>
      <x:c r="F46" s="53" t="str">
        <x:f>IF($B46="","",IFERROR(VLOOKUP($B46,'Data'!$A$2:$B$113,2,FALSE),""))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</x:row>
    <x:row r="47" ht="22" customHeight="1">
      <x:c r="A47" s="32"/>
      <x:c r="B47" s="33"/>
      <x:c r="C47" s="59"/>
      <x:c r="D47" s="52" t="str">
        <x:f>IF($B47="","",IF(OR(RIGHT(TRIM($B47),2)="P43",RIGHT(TRIM($B47),2)="P44",RIGHT(TRIM($B47),2)="P45",RIGHT(TRIM($B47),2)="P46"),"PS","GS"))</x:f>
      </x:c>
      <x:c r="E47" s="62" t="str">
        <x:f>IF($D47="","",IF($D47="PS",'Data'!$O$5,'Data'!$O$4))</x:f>
      </x:c>
      <x:c r="F47" s="53" t="str">
        <x:f>IF($B47="","",IFERROR(VLOOKUP($B47,'Data'!$A$2:$B$113,2,FALSE),""))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</x:row>
    <x:row r="48" ht="22" customHeight="1">
      <x:c r="A48" s="32"/>
      <x:c r="B48" s="33"/>
      <x:c r="C48" s="59"/>
      <x:c r="D48" s="52" t="str">
        <x:f>IF($B48="","",IF(OR(RIGHT(TRIM($B48),2)="P44",RIGHT(TRIM($B48),2)="P45",RIGHT(TRIM($B48),2)="P46",RIGHT(TRIM($B48),2)="P47"),"PS","GS"))</x:f>
      </x:c>
      <x:c r="E48" s="62" t="str">
        <x:f>IF($D48="","",IF($D48="PS",'Data'!$O$5,'Data'!$O$4))</x:f>
      </x:c>
      <x:c r="F48" s="53" t="str">
        <x:f>IF($B48="","",IFERROR(VLOOKUP($B48,'Data'!$A$2:$B$113,2,FALSE),""))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</x:row>
    <x:row r="49" ht="22" customHeight="1">
      <x:c r="A49" s="32"/>
      <x:c r="B49" s="33"/>
      <x:c r="C49" s="59"/>
      <x:c r="D49" s="52" t="str">
        <x:f>IF($B49="","",IF(OR(RIGHT(TRIM($B49),2)="P45",RIGHT(TRIM($B49),2)="P46",RIGHT(TRIM($B49),2)="P47",RIGHT(TRIM($B49),2)="P48"),"PS","GS"))</x:f>
      </x:c>
      <x:c r="E49" s="62" t="str">
        <x:f>IF($D49="","",IF($D49="PS",'Data'!$O$5,'Data'!$O$4))</x:f>
      </x:c>
      <x:c r="F49" s="53" t="str">
        <x:f>IF($B49="","",IFERROR(VLOOKUP($B49,'Data'!$A$2:$B$113,2,FALSE),""))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</x:row>
    <x:row r="50" ht="22" customHeight="1">
      <x:c r="A50" s="32"/>
      <x:c r="B50" s="33"/>
      <x:c r="C50" s="59"/>
      <x:c r="D50" s="52" t="str">
        <x:f>IF($B50="","",IF(OR(RIGHT(TRIM($B50),2)="P46",RIGHT(TRIM($B50),2)="P47",RIGHT(TRIM($B50),2)="P48",RIGHT(TRIM($B50),2)="P49"),"PS","GS"))</x:f>
      </x:c>
      <x:c r="E50" s="62" t="str">
        <x:f>IF($D50="","",IF($D50="PS",'Data'!$O$5,'Data'!$O$4))</x:f>
      </x:c>
      <x:c r="F50" s="53" t="str">
        <x:f>IF($B50="","",IFERROR(VLOOKUP($B50,'Data'!$A$2:$B$113,2,FALSE),""))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</x:row>
    <x:row r="51" ht="22" customHeight="1">
      <x:c r="A51" s="32"/>
      <x:c r="B51" s="33"/>
      <x:c r="C51" s="59"/>
      <x:c r="D51" s="52" t="str">
        <x:f>IF($B51="","",IF(OR(RIGHT(TRIM($B51),2)="P47",RIGHT(TRIM($B51),2)="P48",RIGHT(TRIM($B51),2)="P49",RIGHT(TRIM($B51),2)="P50"),"PS","GS"))</x:f>
      </x:c>
      <x:c r="E51" s="62" t="str">
        <x:f>IF($D51="","",IF($D51="PS",'Data'!$O$5,'Data'!$O$4))</x:f>
      </x:c>
      <x:c r="F51" s="53" t="str">
        <x:f>IF($B51="","",IFERROR(VLOOKUP($B51,'Data'!$A$2:$B$113,2,FALSE),""))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</x:row>
    <x:row r="52" ht="22" customHeight="1">
      <x:c r="A52" s="32"/>
      <x:c r="B52" s="33"/>
      <x:c r="C52" s="59"/>
      <x:c r="D52" s="52" t="str">
        <x:f>IF($B52="","",IF(OR(RIGHT(TRIM($B52),2)="P48",RIGHT(TRIM($B52),2)="P49",RIGHT(TRIM($B52),2)="P50",RIGHT(TRIM($B52),2)="P51"),"PS","GS"))</x:f>
      </x:c>
      <x:c r="E52" s="62" t="str">
        <x:f>IF($D52="","",IF($D52="PS",'Data'!$O$5,'Data'!$O$4))</x:f>
      </x:c>
      <x:c r="F52" s="53" t="str">
        <x:f>IF($B52="","",IFERROR(VLOOKUP($B52,'Data'!$A$2:$B$113,2,FALSE),""))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</x:row>
    <x:row r="53" ht="22" customHeight="1">
      <x:c r="A53" s="32"/>
      <x:c r="B53" s="33"/>
      <x:c r="C53" s="59"/>
      <x:c r="D53" s="52" t="str">
        <x:f>IF($B53="","",IF(OR(RIGHT(TRIM($B53),2)="P49",RIGHT(TRIM($B53),2)="P50",RIGHT(TRIM($B53),2)="P51",RIGHT(TRIM($B53),2)="P52"),"PS","GS"))</x:f>
      </x:c>
      <x:c r="E53" s="62" t="str">
        <x:f>IF($D53="","",IF($D53="PS",'Data'!$O$5,'Data'!$O$4))</x:f>
      </x:c>
      <x:c r="F53" s="53" t="str">
        <x:f>IF($B53="","",IFERROR(VLOOKUP($B53,'Data'!$A$2:$B$113,2,FALSE),""))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</x:row>
    <x:row r="54" ht="22" customHeight="1">
      <x:c r="A54" s="32"/>
      <x:c r="B54" s="33"/>
      <x:c r="C54" s="59"/>
      <x:c r="D54" s="52" t="str">
        <x:f>IF($B54="","",IF(OR(RIGHT(TRIM($B54),2)="P50",RIGHT(TRIM($B54),2)="P51",RIGHT(TRIM($B54),2)="P52",RIGHT(TRIM($B54),2)="P53"),"PS","GS"))</x:f>
      </x:c>
      <x:c r="E54" s="62" t="str">
        <x:f>IF($D54="","",IF($D54="PS",'Data'!$O$5,'Data'!$O$4))</x:f>
      </x:c>
      <x:c r="F54" s="53" t="str">
        <x:f>IF($B54="","",IFERROR(VLOOKUP($B54,'Data'!$A$2:$B$113,2,FALSE),""))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</x:row>
    <x:row r="55" ht="22" customHeight="1">
      <x:c r="A55" s="32"/>
      <x:c r="B55" s="33"/>
      <x:c r="C55" s="59"/>
      <x:c r="D55" s="52" t="str">
        <x:f>IF($B55="","",IF(OR(RIGHT(TRIM($B55),2)="P51",RIGHT(TRIM($B55),2)="P52",RIGHT(TRIM($B55),2)="P53",RIGHT(TRIM($B55),2)="P54"),"PS","GS"))</x:f>
      </x:c>
      <x:c r="E55" s="62" t="str">
        <x:f>IF($D55="","",IF($D55="PS",'Data'!$O$5,'Data'!$O$4))</x:f>
      </x:c>
      <x:c r="F55" s="53" t="str">
        <x:f>IF($B55="","",IFERROR(VLOOKUP($B55,'Data'!$A$2:$B$113,2,FALSE),""))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</x:row>
    <x:row r="56" ht="22" customHeight="1">
      <x:c r="A56" s="32"/>
      <x:c r="B56" s="33"/>
      <x:c r="C56" s="59"/>
      <x:c r="D56" s="52" t="str">
        <x:f>IF($B56="","",IF(OR(RIGHT(TRIM($B56),2)="P52",RIGHT(TRIM($B56),2)="P53",RIGHT(TRIM($B56),2)="P54",RIGHT(TRIM($B56),2)="P55"),"PS","GS"))</x:f>
      </x:c>
      <x:c r="E56" s="62" t="str">
        <x:f>IF($D56="","",IF($D56="PS",'Data'!$O$5,'Data'!$O$4))</x:f>
      </x:c>
      <x:c r="F56" s="53" t="str">
        <x:f>IF($B56="","",IFERROR(VLOOKUP($B56,'Data'!$A$2:$B$113,2,FALSE),""))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</x:row>
    <x:row r="57" ht="22" customHeight="1">
      <x:c r="A57" s="32"/>
      <x:c r="B57" s="33"/>
      <x:c r="C57" s="59"/>
      <x:c r="D57" s="52" t="str">
        <x:f>IF($B57="","",IF(OR(RIGHT(TRIM($B57),2)="P53",RIGHT(TRIM($B57),2)="P54",RIGHT(TRIM($B57),2)="P55",RIGHT(TRIM($B57),2)="P56"),"PS","GS"))</x:f>
      </x:c>
      <x:c r="E57" s="62" t="str">
        <x:f>IF($D57="","",IF($D57="PS",'Data'!$O$5,'Data'!$O$4))</x:f>
      </x:c>
      <x:c r="F57" s="53" t="str">
        <x:f>IF($B57="","",IFERROR(VLOOKUP($B57,'Data'!$A$2:$B$113,2,FALSE),""))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</x:row>
    <x:row r="58" ht="22" customHeight="1">
      <x:c r="A58" s="32"/>
      <x:c r="B58" s="33"/>
      <x:c r="C58" s="59"/>
      <x:c r="D58" s="52" t="str">
        <x:f>IF($B58="","",IF(OR(RIGHT(TRIM($B58),2)="P54",RIGHT(TRIM($B58),2)="P55",RIGHT(TRIM($B58),2)="P56",RIGHT(TRIM($B58),2)="P57"),"PS","GS"))</x:f>
      </x:c>
      <x:c r="E58" s="62" t="str">
        <x:f>IF($D58="","",IF($D58="PS",'Data'!$O$5,'Data'!$O$4))</x:f>
      </x:c>
      <x:c r="F58" s="53" t="str">
        <x:f>IF($B58="","",IFERROR(VLOOKUP($B58,'Data'!$A$2:$B$113,2,FALSE),""))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</x:row>
    <x:row r="59" ht="22" customHeight="1">
      <x:c r="A59" s="32"/>
      <x:c r="B59" s="33"/>
      <x:c r="C59" s="59"/>
      <x:c r="D59" s="52" t="str">
        <x:f>IF($B59="","",IF(OR(RIGHT(TRIM($B59),2)="P55",RIGHT(TRIM($B59),2)="P56",RIGHT(TRIM($B59),2)="P57",RIGHT(TRIM($B59),2)="P58"),"PS","GS"))</x:f>
      </x:c>
      <x:c r="E59" s="62" t="str">
        <x:f>IF($D59="","",IF($D59="PS",'Data'!$O$5,'Data'!$O$4))</x:f>
      </x:c>
      <x:c r="F59" s="53" t="str">
        <x:f>IF($B59="","",IFERROR(VLOOKUP($B59,'Data'!$A$2:$B$113,2,FALSE),""))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</x:row>
    <x:row r="60" ht="22" customHeight="1">
      <x:c r="A60" s="32"/>
      <x:c r="B60" s="33"/>
      <x:c r="C60" s="59"/>
      <x:c r="D60" s="52" t="str">
        <x:f>IF($B60="","",IF(OR(RIGHT(TRIM($B60),2)="P56",RIGHT(TRIM($B60),2)="P57",RIGHT(TRIM($B60),2)="P58",RIGHT(TRIM($B60),2)="P59"),"PS","GS"))</x:f>
      </x:c>
      <x:c r="E60" s="62" t="str">
        <x:f>IF($D60="","",IF($D60="PS",'Data'!$O$5,'Data'!$O$4))</x:f>
      </x:c>
      <x:c r="F60" s="53" t="str">
        <x:f>IF($B60="","",IFERROR(VLOOKUP($B60,'Data'!$A$2:$B$113,2,FALSE),""))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</x:row>
    <x:row r="61" ht="22" customHeight="1">
      <x:c r="A61" s="32"/>
      <x:c r="B61" s="33"/>
      <x:c r="C61" s="59"/>
      <x:c r="D61" s="52" t="str">
        <x:f>IF($B61="","",IF(OR(RIGHT(TRIM($B61),2)="P57",RIGHT(TRIM($B61),2)="P58",RIGHT(TRIM($B61),2)="P59",RIGHT(TRIM($B61),2)="P60"),"PS","GS"))</x:f>
      </x:c>
      <x:c r="E61" s="62" t="str">
        <x:f>IF($D61="","",IF($D61="PS",'Data'!$O$5,'Data'!$O$4))</x:f>
      </x:c>
      <x:c r="F61" s="53" t="str">
        <x:f>IF($B61="","",IFERROR(VLOOKUP($B61,'Data'!$A$2:$B$113,2,FALSE),""))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</x:row>
    <x:row r="62" ht="22" customHeight="1">
      <x:c r="A62" s="32"/>
      <x:c r="B62" s="33"/>
      <x:c r="C62" s="59"/>
      <x:c r="D62" s="52" t="str">
        <x:f>IF($B62="","",IF(OR(RIGHT(TRIM($B62),2)="P58",RIGHT(TRIM($B62),2)="P59",RIGHT(TRIM($B62),2)="P60",RIGHT(TRIM($B62),2)="P61"),"PS","GS"))</x:f>
      </x:c>
      <x:c r="E62" s="62" t="str">
        <x:f>IF($D62="","",IF($D62="PS",'Data'!$O$5,'Data'!$O$4))</x:f>
      </x:c>
      <x:c r="F62" s="53" t="str">
        <x:f>IF($B62="","",IFERROR(VLOOKUP($B62,'Data'!$A$2:$B$113,2,FALSE),""))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</x:row>
    <x:row r="63" ht="22" customHeight="1">
      <x:c r="A63" s="32"/>
      <x:c r="B63" s="33"/>
      <x:c r="C63" s="59"/>
      <x:c r="D63" s="52" t="str">
        <x:f>IF($B63="","",IF(OR(RIGHT(TRIM($B63),2)="P59",RIGHT(TRIM($B63),2)="P60",RIGHT(TRIM($B63),2)="P61",RIGHT(TRIM($B63),2)="P62"),"PS","GS"))</x:f>
      </x:c>
      <x:c r="E63" s="62" t="str">
        <x:f>IF($D63="","",IF($D63="PS",'Data'!$O$5,'Data'!$O$4))</x:f>
      </x:c>
      <x:c r="F63" s="53" t="str">
        <x:f>IF($B63="","",IFERROR(VLOOKUP($B63,'Data'!$A$2:$B$113,2,FALSE),""))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</x:row>
    <x:row r="64" ht="22" customHeight="1">
      <x:c r="A64" s="32"/>
      <x:c r="B64" s="33"/>
      <x:c r="C64" s="59"/>
      <x:c r="D64" s="52" t="str">
        <x:f>IF($B64="","",IF(OR(RIGHT(TRIM($B64),2)="P60",RIGHT(TRIM($B64),2)="P61",RIGHT(TRIM($B64),2)="P62",RIGHT(TRIM($B64),2)="P63"),"PS","GS"))</x:f>
      </x:c>
      <x:c r="E64" s="62" t="str">
        <x:f>IF($D64="","",IF($D64="PS",'Data'!$O$5,'Data'!$O$4))</x:f>
      </x:c>
      <x:c r="F64" s="53" t="str">
        <x:f>IF($B64="","",IFERROR(VLOOKUP($B64,'Data'!$A$2:$B$113,2,FALSE),""))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</x:row>
    <x:row r="65" ht="22" customHeight="1">
      <x:c r="A65" s="32"/>
      <x:c r="B65" s="33"/>
      <x:c r="C65" s="59"/>
      <x:c r="D65" s="52" t="str">
        <x:f>IF($B65="","",IF(OR(RIGHT(TRIM($B65),2)="P61",RIGHT(TRIM($B65),2)="P62",RIGHT(TRIM($B65),2)="P63",RIGHT(TRIM($B65),2)="P64"),"PS","GS"))</x:f>
      </x:c>
      <x:c r="E65" s="62" t="str">
        <x:f>IF($D65="","",IF($D65="PS",'Data'!$O$5,'Data'!$O$4))</x:f>
      </x:c>
      <x:c r="F65" s="53" t="str">
        <x:f>IF($B65="","",IFERROR(VLOOKUP($B65,'Data'!$A$2:$B$113,2,FALSE),""))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</x:row>
    <x:row r="66" ht="22" customHeight="1">
      <x:c r="A66" s="32"/>
      <x:c r="B66" s="33"/>
      <x:c r="C66" s="59"/>
      <x:c r="D66" s="52" t="str">
        <x:f>IF($B66="","",IF(OR(RIGHT(TRIM($B66),2)="P62",RIGHT(TRIM($B66),2)="P63",RIGHT(TRIM($B66),2)="P64",RIGHT(TRIM($B66),2)="P65"),"PS","GS"))</x:f>
      </x:c>
      <x:c r="E66" s="62" t="str">
        <x:f>IF($D66="","",IF($D66="PS",'Data'!$O$5,'Data'!$O$4))</x:f>
      </x:c>
      <x:c r="F66" s="53" t="str">
        <x:f>IF($B66="","",IFERROR(VLOOKUP($B66,'Data'!$A$2:$B$113,2,FALSE),""))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</x:row>
    <x:row r="67" ht="22" customHeight="1">
      <x:c r="A67" s="32"/>
      <x:c r="B67" s="33"/>
      <x:c r="C67" s="59"/>
      <x:c r="D67" s="52" t="str">
        <x:f>IF($B67="","",IF(OR(RIGHT(TRIM($B67),2)="P63",RIGHT(TRIM($B67),2)="P64",RIGHT(TRIM($B67),2)="P65",RIGHT(TRIM($B67),2)="P66"),"PS","GS"))</x:f>
      </x:c>
      <x:c r="E67" s="62" t="str">
        <x:f>IF($D67="","",IF($D67="PS",'Data'!$O$5,'Data'!$O$4))</x:f>
      </x:c>
      <x:c r="F67" s="53" t="str">
        <x:f>IF($B67="","",IFERROR(VLOOKUP($B67,'Data'!$A$2:$B$113,2,FALSE),""))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</x:row>
    <x:row r="68" ht="22" customHeight="1">
      <x:c r="A68" s="32"/>
      <x:c r="B68" s="33"/>
      <x:c r="C68" s="59"/>
      <x:c r="D68" s="52" t="str">
        <x:f>IF($B68="","",IF(OR(RIGHT(TRIM($B68),2)="P64",RIGHT(TRIM($B68),2)="P65",RIGHT(TRIM($B68),2)="P66",RIGHT(TRIM($B68),2)="P67"),"PS","GS"))</x:f>
      </x:c>
      <x:c r="E68" s="62" t="str">
        <x:f>IF($D68="","",IF($D68="PS",'Data'!$O$5,'Data'!$O$4))</x:f>
      </x:c>
      <x:c r="F68" s="53" t="str">
        <x:f>IF($B68="","",IFERROR(VLOOKUP($B68,'Data'!$A$2:$B$113,2,FALSE),""))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</x:row>
    <x:row r="69" ht="22" customHeight="1">
      <x:c r="A69" s="32"/>
      <x:c r="B69" s="33"/>
      <x:c r="C69" s="59"/>
      <x:c r="D69" s="52" t="str">
        <x:f>IF($B69="","",IF(OR(RIGHT(TRIM($B69),2)="P65",RIGHT(TRIM($B69),2)="P66",RIGHT(TRIM($B69),2)="P67",RIGHT(TRIM($B69),2)="P68"),"PS","GS"))</x:f>
      </x:c>
      <x:c r="E69" s="62" t="str">
        <x:f>IF($D69="","",IF($D69="PS",'Data'!$O$5,'Data'!$O$4))</x:f>
      </x:c>
      <x:c r="F69" s="53" t="str">
        <x:f>IF($B69="","",IFERROR(VLOOKUP($B69,'Data'!$A$2:$B$113,2,FALSE),""))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</x:row>
    <x:row r="70" ht="22" customHeight="1">
      <x:c r="A70" s="32"/>
      <x:c r="B70" s="33"/>
      <x:c r="C70" s="59"/>
      <x:c r="D70" s="52" t="str">
        <x:f>IF($B70="","",IF(OR(RIGHT(TRIM($B70),2)="P66",RIGHT(TRIM($B70),2)="P67",RIGHT(TRIM($B70),2)="P68",RIGHT(TRIM($B70),2)="P69"),"PS","GS"))</x:f>
      </x:c>
      <x:c r="E70" s="62" t="str">
        <x:f>IF($D70="","",IF($D70="PS",'Data'!$O$5,'Data'!$O$4))</x:f>
      </x:c>
      <x:c r="F70" s="53" t="str">
        <x:f>IF($B70="","",IFERROR(VLOOKUP($B70,'Data'!$A$2:$B$113,2,FALSE),""))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</x:row>
    <x:row r="71" ht="22" customHeight="1">
      <x:c r="A71" s="32"/>
      <x:c r="B71" s="33"/>
      <x:c r="C71" s="59"/>
      <x:c r="D71" s="52" t="str">
        <x:f>IF($B71="","",IF(OR(RIGHT(TRIM($B71),2)="P67",RIGHT(TRIM($B71),2)="P68",RIGHT(TRIM($B71),2)="P69",RIGHT(TRIM($B71),2)="P70"),"PS","GS"))</x:f>
      </x:c>
      <x:c r="E71" s="62" t="str">
        <x:f>IF($D71="","",IF($D71="PS",'Data'!$O$5,'Data'!$O$4))</x:f>
      </x:c>
      <x:c r="F71" s="53" t="str">
        <x:f>IF($B71="","",IFERROR(VLOOKUP($B71,'Data'!$A$2:$B$113,2,FALSE),""))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</x:row>
    <x:row r="72" ht="22" customHeight="1">
      <x:c r="A72" s="32"/>
      <x:c r="B72" s="33"/>
      <x:c r="C72" s="59"/>
      <x:c r="D72" s="52" t="str">
        <x:f>IF($B72="","",IF(OR(RIGHT(TRIM($B72),2)="P68",RIGHT(TRIM($B72),2)="P69",RIGHT(TRIM($B72),2)="P70",RIGHT(TRIM($B72),2)="P71"),"PS","GS"))</x:f>
      </x:c>
      <x:c r="E72" s="62" t="str">
        <x:f>IF($D72="","",IF($D72="PS",'Data'!$O$5,'Data'!$O$4))</x:f>
      </x:c>
      <x:c r="F72" s="53" t="str">
        <x:f>IF($B72="","",IFERROR(VLOOKUP($B72,'Data'!$A$2:$B$113,2,FALSE),""))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</x:row>
    <x:row r="73" ht="22" customHeight="1">
      <x:c r="A73" s="32"/>
      <x:c r="B73" s="33"/>
      <x:c r="C73" s="59"/>
      <x:c r="D73" s="52" t="str">
        <x:f>IF($B73="","",IF(OR(RIGHT(TRIM($B73),2)="P69",RIGHT(TRIM($B73),2)="P70",RIGHT(TRIM($B73),2)="P71",RIGHT(TRIM($B73),2)="P72"),"PS","GS"))</x:f>
      </x:c>
      <x:c r="E73" s="62" t="str">
        <x:f>IF($D73="","",IF($D73="PS",'Data'!$O$5,'Data'!$O$4))</x:f>
      </x:c>
      <x:c r="F73" s="53" t="str">
        <x:f>IF($B73="","",IFERROR(VLOOKUP($B73,'Data'!$A$2:$B$113,2,FALSE),""))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</x:row>
    <x:row r="74" ht="22" customHeight="1">
      <x:c r="A74" s="32"/>
      <x:c r="B74" s="33"/>
      <x:c r="C74" s="59"/>
      <x:c r="D74" s="52" t="str">
        <x:f>IF($B74="","",IF(OR(RIGHT(TRIM($B74),2)="P70",RIGHT(TRIM($B74),2)="P71",RIGHT(TRIM($B74),2)="P72",RIGHT(TRIM($B74),2)="P73"),"PS","GS"))</x:f>
      </x:c>
      <x:c r="E74" s="62" t="str">
        <x:f>IF($D74="","",IF($D74="PS",'Data'!$O$5,'Data'!$O$4))</x:f>
      </x:c>
      <x:c r="F74" s="53" t="str">
        <x:f>IF($B74="","",IFERROR(VLOOKUP($B74,'Data'!$A$2:$B$113,2,FALSE),""))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</x:row>
    <x:row r="75" ht="22" customHeight="1">
      <x:c r="A75" s="32"/>
      <x:c r="B75" s="33"/>
      <x:c r="C75" s="59"/>
      <x:c r="D75" s="52" t="str">
        <x:f>IF($B75="","",IF(OR(RIGHT(TRIM($B75),2)="P71",RIGHT(TRIM($B75),2)="P72",RIGHT(TRIM($B75),2)="P73",RIGHT(TRIM($B75),2)="P74"),"PS","GS"))</x:f>
      </x:c>
      <x:c r="E75" s="62" t="str">
        <x:f>IF($D75="","",IF($D75="PS",'Data'!$O$5,'Data'!$O$4))</x:f>
      </x:c>
      <x:c r="F75" s="53" t="str">
        <x:f>IF($B75="","",IFERROR(VLOOKUP($B75,'Data'!$A$2:$B$113,2,FALSE),""))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</x:row>
    <x:row r="76" ht="22" customHeight="1">
      <x:c r="A76" s="32"/>
      <x:c r="B76" s="33"/>
      <x:c r="C76" s="59"/>
      <x:c r="D76" s="52" t="str">
        <x:f>IF($B76="","",IF(OR(RIGHT(TRIM($B76),2)="P72",RIGHT(TRIM($B76),2)="P73",RIGHT(TRIM($B76),2)="P74",RIGHT(TRIM($B76),2)="P75"),"PS","GS"))</x:f>
      </x:c>
      <x:c r="E76" s="62" t="str">
        <x:f>IF($D76="","",IF($D76="PS",'Data'!$O$5,'Data'!$O$4))</x:f>
      </x:c>
      <x:c r="F76" s="53" t="str">
        <x:f>IF($B76="","",IFERROR(VLOOKUP($B76,'Data'!$A$2:$B$113,2,FALSE),""))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</x:row>
    <x:row r="77" ht="22" customHeight="1">
      <x:c r="A77" s="32"/>
      <x:c r="B77" s="33"/>
      <x:c r="C77" s="59"/>
      <x:c r="D77" s="52" t="str">
        <x:f>IF($B77="","",IF(OR(RIGHT(TRIM($B77),2)="P73",RIGHT(TRIM($B77),2)="P74",RIGHT(TRIM($B77),2)="P75",RIGHT(TRIM($B77),2)="P76"),"PS","GS"))</x:f>
      </x:c>
      <x:c r="E77" s="62" t="str">
        <x:f>IF($D77="","",IF($D77="PS",'Data'!$O$5,'Data'!$O$4))</x:f>
      </x:c>
      <x:c r="F77" s="53" t="str">
        <x:f>IF($B77="","",IFERROR(VLOOKUP($B77,'Data'!$A$2:$B$113,2,FALSE),""))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</x:row>
    <x:row r="78" ht="22" customHeight="1">
      <x:c r="A78" s="32"/>
      <x:c r="B78" s="33"/>
      <x:c r="C78" s="59"/>
      <x:c r="D78" s="52" t="str">
        <x:f>IF($B78="","",IF(OR(RIGHT(TRIM($B78),2)="P74",RIGHT(TRIM($B78),2)="P75",RIGHT(TRIM($B78),2)="P76",RIGHT(TRIM($B78),2)="P77"),"PS","GS"))</x:f>
      </x:c>
      <x:c r="E78" s="62" t="str">
        <x:f>IF($D78="","",IF($D78="PS",'Data'!$O$5,'Data'!$O$4))</x:f>
      </x:c>
      <x:c r="F78" s="53" t="str">
        <x:f>IF($B78="","",IFERROR(VLOOKUP($B78,'Data'!$A$2:$B$113,2,FALSE),""))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</x:row>
    <x:row r="79" ht="22" customHeight="1">
      <x:c r="A79" s="32"/>
      <x:c r="B79" s="33"/>
      <x:c r="C79" s="59"/>
      <x:c r="D79" s="52" t="str">
        <x:f>IF($B79="","",IF(OR(RIGHT(TRIM($B79),2)="P75",RIGHT(TRIM($B79),2)="P76",RIGHT(TRIM($B79),2)="P77",RIGHT(TRIM($B79),2)="P78"),"PS","GS"))</x:f>
      </x:c>
      <x:c r="E79" s="62" t="str">
        <x:f>IF($D79="","",IF($D79="PS",'Data'!$O$5,'Data'!$O$4))</x:f>
      </x:c>
      <x:c r="F79" s="53" t="str">
        <x:f>IF($B79="","",IFERROR(VLOOKUP($B79,'Data'!$A$2:$B$113,2,FALSE),""))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</x:row>
    <x:row r="80" ht="22" customHeight="1">
      <x:c r="A80" s="32"/>
      <x:c r="B80" s="33"/>
      <x:c r="C80" s="59"/>
      <x:c r="D80" s="52" t="str">
        <x:f>IF($B80="","",IF(OR(RIGHT(TRIM($B80),2)="P76",RIGHT(TRIM($B80),2)="P77",RIGHT(TRIM($B80),2)="P78",RIGHT(TRIM($B80),2)="P79"),"PS","GS"))</x:f>
      </x:c>
      <x:c r="E80" s="62" t="str">
        <x:f>IF($D80="","",IF($D80="PS",'Data'!$O$5,'Data'!$O$4))</x:f>
      </x:c>
      <x:c r="F80" s="53" t="str">
        <x:f>IF($B80="","",IFERROR(VLOOKUP($B80,'Data'!$A$2:$B$113,2,FALSE),""))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</x:row>
    <x:row r="81" ht="22" customHeight="1">
      <x:c r="A81" s="32"/>
      <x:c r="B81" s="33"/>
      <x:c r="C81" s="59"/>
      <x:c r="D81" s="52" t="str">
        <x:f>IF($B81="","",IF(OR(RIGHT(TRIM($B81),2)="P77",RIGHT(TRIM($B81),2)="P78",RIGHT(TRIM($B81),2)="P79",RIGHT(TRIM($B81),2)="P80"),"PS","GS"))</x:f>
      </x:c>
      <x:c r="E81" s="62" t="str">
        <x:f>IF($D81="","",IF($D81="PS",'Data'!$O$5,'Data'!$O$4))</x:f>
      </x:c>
      <x:c r="F81" s="53" t="str">
        <x:f>IF($B81="","",IFERROR(VLOOKUP($B81,'Data'!$A$2:$B$113,2,FALSE),""))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</x:row>
    <x:row r="82" ht="22" customHeight="1">
      <x:c r="A82" s="32"/>
      <x:c r="B82" s="33"/>
      <x:c r="C82" s="59"/>
      <x:c r="D82" s="52" t="str">
        <x:f>IF($B82="","",IF(OR(RIGHT(TRIM($B82),2)="P78",RIGHT(TRIM($B82),2)="P79",RIGHT(TRIM($B82),2)="P80",RIGHT(TRIM($B82),2)="P81"),"PS","GS"))</x:f>
      </x:c>
      <x:c r="E82" s="62" t="str">
        <x:f>IF($D82="","",IF($D82="PS",'Data'!$O$5,'Data'!$O$4))</x:f>
      </x:c>
      <x:c r="F82" s="53" t="str">
        <x:f>IF($B82="","",IFERROR(VLOOKUP($B82,'Data'!$A$2:$B$113,2,FALSE),""))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</x:row>
    <x:row r="83" ht="22" customHeight="1">
      <x:c r="A83" s="32"/>
      <x:c r="B83" s="33"/>
      <x:c r="C83" s="59"/>
      <x:c r="D83" s="52" t="str">
        <x:f>IF($B83="","",IF(OR(RIGHT(TRIM($B83),2)="P79",RIGHT(TRIM($B83),2)="P80",RIGHT(TRIM($B83),2)="P81",RIGHT(TRIM($B83),2)="P82"),"PS","GS"))</x:f>
      </x:c>
      <x:c r="E83" s="62" t="str">
        <x:f>IF($D83="","",IF($D83="PS",'Data'!$O$5,'Data'!$O$4))</x:f>
      </x:c>
      <x:c r="F83" s="53" t="str">
        <x:f>IF($B83="","",IFERROR(VLOOKUP($B83,'Data'!$A$2:$B$113,2,FALSE),""))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</x:row>
    <x:row r="84" ht="22" customHeight="1">
      <x:c r="A84" s="32"/>
      <x:c r="B84" s="33"/>
      <x:c r="C84" s="59"/>
      <x:c r="D84" s="52" t="str">
        <x:f>IF($B84="","",IF(OR(RIGHT(TRIM($B84),2)="P80",RIGHT(TRIM($B84),2)="P81",RIGHT(TRIM($B84),2)="P82",RIGHT(TRIM($B84),2)="P83"),"PS","GS"))</x:f>
      </x:c>
      <x:c r="E84" s="62" t="str">
        <x:f>IF($D84="","",IF($D84="PS",'Data'!$O$5,'Data'!$O$4))</x:f>
      </x:c>
      <x:c r="F84" s="53" t="str">
        <x:f>IF($B84="","",IFERROR(VLOOKUP($B84,'Data'!$A$2:$B$113,2,FALSE),""))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</x:row>
    <x:row r="85" ht="22" customHeight="1">
      <x:c r="A85" s="32"/>
      <x:c r="B85" s="33"/>
      <x:c r="C85" s="59"/>
      <x:c r="D85" s="52" t="str">
        <x:f>IF($B85="","",IF(OR(RIGHT(TRIM($B85),2)="P81",RIGHT(TRIM($B85),2)="P82",RIGHT(TRIM($B85),2)="P83",RIGHT(TRIM($B85),2)="P84"),"PS","GS"))</x:f>
      </x:c>
      <x:c r="E85" s="62" t="str">
        <x:f>IF($D85="","",IF($D85="PS",'Data'!$O$5,'Data'!$O$4))</x:f>
      </x:c>
      <x:c r="F85" s="53" t="str">
        <x:f>IF($B85="","",IFERROR(VLOOKUP($B85,'Data'!$A$2:$B$113,2,FALSE),""))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</x:row>
    <x:row r="86" ht="22" customHeight="1">
      <x:c r="A86" s="32"/>
      <x:c r="B86" s="33"/>
      <x:c r="C86" s="59"/>
      <x:c r="D86" s="52" t="str">
        <x:f>IF($B86="","",IF(OR(RIGHT(TRIM($B86),2)="P82",RIGHT(TRIM($B86),2)="P83",RIGHT(TRIM($B86),2)="P84",RIGHT(TRIM($B86),2)="P85"),"PS","GS"))</x:f>
      </x:c>
      <x:c r="E86" s="62" t="str">
        <x:f>IF($D86="","",IF($D86="PS",'Data'!$O$5,'Data'!$O$4))</x:f>
      </x:c>
      <x:c r="F86" s="53" t="str">
        <x:f>IF($B86="","",IFERROR(VLOOKUP($B86,'Data'!$A$2:$B$113,2,FALSE),""))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</x:row>
    <x:row r="87" ht="22" customHeight="1">
      <x:c r="A87" s="32"/>
      <x:c r="B87" s="33"/>
      <x:c r="C87" s="59"/>
      <x:c r="D87" s="52" t="str">
        <x:f>IF($B87="","",IF(OR(RIGHT(TRIM($B87),2)="P83",RIGHT(TRIM($B87),2)="P84",RIGHT(TRIM($B87),2)="P85",RIGHT(TRIM($B87),2)="P86"),"PS","GS"))</x:f>
      </x:c>
      <x:c r="E87" s="62" t="str">
        <x:f>IF($D87="","",IF($D87="PS",'Data'!$O$5,'Data'!$O$4))</x:f>
      </x:c>
      <x:c r="F87" s="53" t="str">
        <x:f>IF($B87="","",IFERROR(VLOOKUP($B87,'Data'!$A$2:$B$113,2,FALSE),""))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</x:row>
    <x:row r="88" ht="22" customHeight="1">
      <x:c r="A88" s="32"/>
      <x:c r="B88" s="33"/>
      <x:c r="C88" s="59"/>
      <x:c r="D88" s="52" t="str">
        <x:f>IF($B88="","",IF(OR(RIGHT(TRIM($B88),2)="P84",RIGHT(TRIM($B88),2)="P85",RIGHT(TRIM($B88),2)="P86",RIGHT(TRIM($B88),2)="P87"),"PS","GS"))</x:f>
      </x:c>
      <x:c r="E88" s="62" t="str">
        <x:f>IF($D88="","",IF($D88="PS",'Data'!$O$5,'Data'!$O$4))</x:f>
      </x:c>
      <x:c r="F88" s="53" t="str">
        <x:f>IF($B88="","",IFERROR(VLOOKUP($B88,'Data'!$A$2:$B$113,2,FALSE),""))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</x:row>
    <x:row r="89" ht="22" customHeight="1">
      <x:c r="A89" s="32"/>
      <x:c r="B89" s="33"/>
      <x:c r="C89" s="59"/>
      <x:c r="D89" s="52" t="str">
        <x:f>IF($B89="","",IF(OR(RIGHT(TRIM($B89),2)="P85",RIGHT(TRIM($B89),2)="P86",RIGHT(TRIM($B89),2)="P87",RIGHT(TRIM($B89),2)="P88"),"PS","GS"))</x:f>
      </x:c>
      <x:c r="E89" s="62" t="str">
        <x:f>IF($D89="","",IF($D89="PS",'Data'!$O$5,'Data'!$O$4))</x:f>
      </x:c>
      <x:c r="F89" s="53" t="str">
        <x:f>IF($B89="","",IFERROR(VLOOKUP($B89,'Data'!$A$2:$B$113,2,FALSE),""))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</x:row>
    <x:row r="90" ht="22" customHeight="1">
      <x:c r="A90" s="32"/>
      <x:c r="B90" s="33"/>
      <x:c r="C90" s="59"/>
      <x:c r="D90" s="52" t="str">
        <x:f>IF($B90="","",IF(OR(RIGHT(TRIM($B90),2)="P86",RIGHT(TRIM($B90),2)="P87",RIGHT(TRIM($B90),2)="P88",RIGHT(TRIM($B90),2)="P89"),"PS","GS"))</x:f>
      </x:c>
      <x:c r="E90" s="62" t="str">
        <x:f>IF($D90="","",IF($D90="PS",'Data'!$O$5,'Data'!$O$4))</x:f>
      </x:c>
      <x:c r="F90" s="53" t="str">
        <x:f>IF($B90="","",IFERROR(VLOOKUP($B90,'Data'!$A$2:$B$113,2,FALSE),""))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</x:row>
    <x:row r="91" ht="22" customHeight="1">
      <x:c r="A91" s="32"/>
      <x:c r="B91" s="33"/>
      <x:c r="C91" s="59"/>
      <x:c r="D91" s="52" t="str">
        <x:f>IF($B91="","",IF(OR(RIGHT(TRIM($B91),2)="P87",RIGHT(TRIM($B91),2)="P88",RIGHT(TRIM($B91),2)="P89",RIGHT(TRIM($B91),2)="P90"),"PS","GS"))</x:f>
      </x:c>
      <x:c r="E91" s="62" t="str">
        <x:f>IF($D91="","",IF($D91="PS",'Data'!$O$5,'Data'!$O$4))</x:f>
      </x:c>
      <x:c r="F91" s="53" t="str">
        <x:f>IF($B91="","",IFERROR(VLOOKUP($B91,'Data'!$A$2:$B$113,2,FALSE),""))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</x:row>
    <x:row r="92" ht="22" customHeight="1">
      <x:c r="A92" s="32"/>
      <x:c r="B92" s="33"/>
      <x:c r="C92" s="59"/>
      <x:c r="D92" s="52" t="str">
        <x:f>IF($B92="","",IF(OR(RIGHT(TRIM($B92),2)="P88",RIGHT(TRIM($B92),2)="P89",RIGHT(TRIM($B92),2)="P90",RIGHT(TRIM($B92),2)="P91"),"PS","GS"))</x:f>
      </x:c>
      <x:c r="E92" s="62" t="str">
        <x:f>IF($D92="","",IF($D92="PS",'Data'!$O$5,'Data'!$O$4))</x:f>
      </x:c>
      <x:c r="F92" s="53" t="str">
        <x:f>IF($B92="","",IFERROR(VLOOKUP($B92,'Data'!$A$2:$B$113,2,FALSE),""))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</x:row>
    <x:row r="93" ht="22" customHeight="1">
      <x:c r="A93" s="32"/>
      <x:c r="B93" s="33"/>
      <x:c r="C93" s="59"/>
      <x:c r="D93" s="52" t="str">
        <x:f>IF($B93="","",IF(OR(RIGHT(TRIM($B93),2)="P89",RIGHT(TRIM($B93),2)="P90",RIGHT(TRIM($B93),2)="P91",RIGHT(TRIM($B93),2)="P92"),"PS","GS"))</x:f>
      </x:c>
      <x:c r="E93" s="62" t="str">
        <x:f>IF($D93="","",IF($D93="PS",'Data'!$O$5,'Data'!$O$4))</x:f>
      </x:c>
      <x:c r="F93" s="53" t="str">
        <x:f>IF($B93="","",IFERROR(VLOOKUP($B93,'Data'!$A$2:$B$113,2,FALSE),""))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</x:row>
    <x:row r="94" ht="22" customHeight="1">
      <x:c r="A94" s="32"/>
      <x:c r="B94" s="33"/>
      <x:c r="C94" s="59"/>
      <x:c r="D94" s="52" t="str">
        <x:f>IF($B94="","",IF(OR(RIGHT(TRIM($B94),2)="P90",RIGHT(TRIM($B94),2)="P91",RIGHT(TRIM($B94),2)="P92",RIGHT(TRIM($B94),2)="P93"),"PS","GS"))</x:f>
      </x:c>
      <x:c r="E94" s="62" t="str">
        <x:f>IF($D94="","",IF($D94="PS",'Data'!$O$5,'Data'!$O$4))</x:f>
      </x:c>
      <x:c r="F94" s="53" t="str">
        <x:f>IF($B94="","",IFERROR(VLOOKUP($B94,'Data'!$A$2:$B$113,2,FALSE),""))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</x:row>
    <x:row r="95" ht="22" customHeight="1">
      <x:c r="A95" s="32"/>
      <x:c r="B95" s="33"/>
      <x:c r="C95" s="59"/>
      <x:c r="D95" s="52" t="str">
        <x:f>IF($B95="","",IF(OR(RIGHT(TRIM($B95),2)="P91",RIGHT(TRIM($B95),2)="P92",RIGHT(TRIM($B95),2)="P93",RIGHT(TRIM($B95),2)="P94"),"PS","GS"))</x:f>
      </x:c>
      <x:c r="E95" s="62" t="str">
        <x:f>IF($D95="","",IF($D95="PS",'Data'!$O$5,'Data'!$O$4))</x:f>
      </x:c>
      <x:c r="F95" s="53" t="str">
        <x:f>IF($B95="","",IFERROR(VLOOKUP($B95,'Data'!$A$2:$B$113,2,FALSE),""))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</x:row>
    <x:row r="96" ht="22" customHeight="1">
      <x:c r="A96" s="32"/>
      <x:c r="B96" s="33"/>
      <x:c r="C96" s="59"/>
      <x:c r="D96" s="52" t="str">
        <x:f>IF($B96="","",IF(OR(RIGHT(TRIM($B96),2)="P92",RIGHT(TRIM($B96),2)="P93",RIGHT(TRIM($B96),2)="P94",RIGHT(TRIM($B96),2)="P95"),"PS","GS"))</x:f>
      </x:c>
      <x:c r="E96" s="62" t="str">
        <x:f>IF($D96="","",IF($D96="PS",'Data'!$O$5,'Data'!$O$4))</x:f>
      </x:c>
      <x:c r="F96" s="53" t="str">
        <x:f>IF($B96="","",IFERROR(VLOOKUP($B96,'Data'!$A$2:$B$113,2,FALSE),""))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</x:row>
    <x:row r="97" ht="22" customHeight="1">
      <x:c r="A97" s="32"/>
      <x:c r="B97" s="33"/>
      <x:c r="C97" s="59"/>
      <x:c r="D97" s="52" t="str">
        <x:f>IF($B97="","",IF(OR(RIGHT(TRIM($B97),2)="P93",RIGHT(TRIM($B97),2)="P94",RIGHT(TRIM($B97),2)="P95",RIGHT(TRIM($B97),2)="P96"),"PS","GS"))</x:f>
      </x:c>
      <x:c r="E97" s="62" t="str">
        <x:f>IF($D97="","",IF($D97="PS",'Data'!$O$5,'Data'!$O$4))</x:f>
      </x:c>
      <x:c r="F97" s="53" t="str">
        <x:f>IF($B97="","",IFERROR(VLOOKUP($B97,'Data'!$A$2:$B$113,2,FALSE),""))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</x:row>
    <x:row r="98" ht="22" customHeight="1">
      <x:c r="A98" s="32"/>
      <x:c r="B98" s="33"/>
      <x:c r="C98" s="59"/>
      <x:c r="D98" s="52" t="str">
        <x:f>IF($B98="","",IF(OR(RIGHT(TRIM($B98),2)="P94",RIGHT(TRIM($B98),2)="P95",RIGHT(TRIM($B98),2)="P96",RIGHT(TRIM($B98),2)="P97"),"PS","GS"))</x:f>
      </x:c>
      <x:c r="E98" s="62" t="str">
        <x:f>IF($D98="","",IF($D98="PS",'Data'!$O$5,'Data'!$O$4))</x:f>
      </x:c>
      <x:c r="F98" s="53" t="str">
        <x:f>IF($B98="","",IFERROR(VLOOKUP($B98,'Data'!$A$2:$B$113,2,FALSE),""))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</x:row>
    <x:row r="99" ht="22" customHeight="1">
      <x:c r="A99" s="32"/>
      <x:c r="B99" s="33"/>
      <x:c r="C99" s="59"/>
      <x:c r="D99" s="52" t="str">
        <x:f>IF($B99="","",IF(OR(RIGHT(TRIM($B99),2)="P95",RIGHT(TRIM($B99),2)="P96",RIGHT(TRIM($B99),2)="P97",RIGHT(TRIM($B99),2)="P98"),"PS","GS"))</x:f>
      </x:c>
      <x:c r="E99" s="62" t="str">
        <x:f>IF($D99="","",IF($D99="PS",'Data'!$O$5,'Data'!$O$4))</x:f>
      </x:c>
      <x:c r="F99" s="53" t="str">
        <x:f>IF($B99="","",IFERROR(VLOOKUP($B99,'Data'!$A$2:$B$113,2,FALSE),""))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</x:row>
    <x:row r="100" ht="22" customHeight="1">
      <x:c r="A100" s="32"/>
      <x:c r="B100" s="33"/>
      <x:c r="C100" s="59"/>
      <x:c r="D100" s="52" t="str">
        <x:f>IF($B100="","",IF(OR(RIGHT(TRIM($B100),2)="P96",RIGHT(TRIM($B100),2)="P97",RIGHT(TRIM($B100),2)="P98",RIGHT(TRIM($B100),2)="P99"),"PS","GS"))</x:f>
      </x:c>
      <x:c r="E100" s="62" t="str">
        <x:f>IF($D100="","",IF($D100="PS",'Data'!$O$5,'Data'!$O$4))</x:f>
      </x:c>
      <x:c r="F100" s="53" t="str">
        <x:f>IF($B100="","",IFERROR(VLOOKUP($B100,'Data'!$A$2:$B$113,2,FALSE),""))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</x:row>
    <x:row r="101" ht="22" customHeight="1">
      <x:c r="A101" s="32"/>
      <x:c r="B101" s="33"/>
      <x:c r="C101" s="59"/>
      <x:c r="D101" s="52" t="str">
        <x:f>IF($B101="","",IF(OR(RIGHT(TRIM($B101),2)="P97",RIGHT(TRIM($B101),2)="P98",RIGHT(TRIM($B101),2)="P99",RIGHT(TRIM($B101),2)="P100"),"PS","GS"))</x:f>
      </x:c>
      <x:c r="E101" s="62" t="str">
        <x:f>IF($D101="","",IF($D101="PS",'Data'!$O$5,'Data'!$O$4))</x:f>
      </x:c>
      <x:c r="F101" s="53" t="str">
        <x:f>IF($B101="","",IFERROR(VLOOKUP($B101,'Data'!$A$2:$B$113,2,FALSE),""))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</x:row>
    <x:row r="102" ht="22" customHeight="1">
      <x:c r="A102" s="32"/>
      <x:c r="B102" s="33"/>
      <x:c r="C102" s="59"/>
      <x:c r="D102" s="52" t="str">
        <x:f>IF($B102="","",IF(OR(RIGHT(TRIM($B102),2)="P98",RIGHT(TRIM($B102),2)="P99",RIGHT(TRIM($B102),2)="P100",RIGHT(TRIM($B102),2)="P101"),"PS","GS"))</x:f>
      </x:c>
      <x:c r="E102" s="62" t="str">
        <x:f>IF($D102="","",IF($D102="PS",'Data'!$O$5,'Data'!$O$4))</x:f>
      </x:c>
      <x:c r="F102" s="53" t="str">
        <x:f>IF($B102="","",IFERROR(VLOOKUP($B102,'Data'!$A$2:$B$113,2,FALSE),""))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</x:row>
    <x:row r="103" ht="22" customHeight="1">
      <x:c r="A103" s="32"/>
      <x:c r="B103" s="33"/>
      <x:c r="C103" s="59"/>
      <x:c r="D103" s="52" t="str">
        <x:f>IF($B103="","",IF(OR(RIGHT(TRIM($B103),2)="P99",RIGHT(TRIM($B103),2)="P100",RIGHT(TRIM($B103),2)="P101",RIGHT(TRIM($B103),2)="P102"),"PS","GS"))</x:f>
      </x:c>
      <x:c r="E103" s="62" t="str">
        <x:f>IF($D103="","",IF($D103="PS",'Data'!$O$5,'Data'!$O$4))</x:f>
      </x:c>
      <x:c r="F103" s="53" t="str">
        <x:f>IF($B103="","",IFERROR(VLOOKUP($B103,'Data'!$A$2:$B$113,2,FALSE),""))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</x:row>
    <x:row r="104" ht="22" customHeight="1">
      <x:c r="A104" s="32"/>
      <x:c r="B104" s="33"/>
      <x:c r="C104" s="59"/>
      <x:c r="D104" s="52" t="str">
        <x:f>IF($B104="","",IF(OR(RIGHT(TRIM($B104),2)="P100",RIGHT(TRIM($B104),2)="P101",RIGHT(TRIM($B104),2)="P102",RIGHT(TRIM($B104),2)="P103"),"PS","GS"))</x:f>
      </x:c>
      <x:c r="E104" s="62" t="str">
        <x:f>IF($D104="","",IF($D104="PS",'Data'!$O$5,'Data'!$O$4))</x:f>
      </x:c>
      <x:c r="F104" s="53" t="str">
        <x:f>IF($B104="","",IFERROR(VLOOKUP($B104,'Data'!$A$2:$B$113,2,FALSE),""))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</x:row>
    <x:row r="105" ht="22" customHeight="1">
      <x:c r="A105" s="32"/>
      <x:c r="B105" s="33"/>
      <x:c r="C105" s="59"/>
      <x:c r="D105" s="52" t="str">
        <x:f>IF($B105="","",IF(OR(RIGHT(TRIM($B105),2)="P101",RIGHT(TRIM($B105),2)="P102",RIGHT(TRIM($B105),2)="P103",RIGHT(TRIM($B105),2)="P104"),"PS","GS"))</x:f>
      </x:c>
      <x:c r="E105" s="62" t="str">
        <x:f>IF($D105="","",IF($D105="PS",'Data'!$O$5,'Data'!$O$4))</x:f>
      </x:c>
      <x:c r="F105" s="53" t="str">
        <x:f>IF($B105="","",IFERROR(VLOOKUP($B105,'Data'!$A$2:$B$113,2,FALSE),""))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</x:row>
    <x:row r="106" ht="22" customHeight="1">
      <x:c r="A106" s="32"/>
      <x:c r="B106" s="33"/>
      <x:c r="C106" s="59"/>
      <x:c r="D106" s="52" t="str">
        <x:f>IF($B106="","",IF(OR(RIGHT(TRIM($B106),2)="P102",RIGHT(TRIM($B106),2)="P103",RIGHT(TRIM($B106),2)="P104",RIGHT(TRIM($B106),2)="P105"),"PS","GS"))</x:f>
      </x:c>
      <x:c r="E106" s="62" t="str">
        <x:f>IF($D106="","",IF($D106="PS",'Data'!$O$5,'Data'!$O$4))</x:f>
      </x:c>
      <x:c r="F106" s="53" t="str">
        <x:f>IF($B106="","",IFERROR(VLOOKUP($B106,'Data'!$A$2:$B$113,2,FALSE),""))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</x:row>
    <x:row r="107" ht="22" customHeight="1">
      <x:c r="A107" s="32"/>
      <x:c r="B107" s="33"/>
      <x:c r="C107" s="59"/>
      <x:c r="D107" s="52" t="str">
        <x:f>IF($B107="","",IF(OR(RIGHT(TRIM($B107),2)="P103",RIGHT(TRIM($B107),2)="P104",RIGHT(TRIM($B107),2)="P105",RIGHT(TRIM($B107),2)="P106"),"PS","GS"))</x:f>
      </x:c>
      <x:c r="E107" s="62" t="str">
        <x:f>IF($D107="","",IF($D107="PS",'Data'!$O$5,'Data'!$O$4))</x:f>
      </x:c>
      <x:c r="F107" s="53" t="str">
        <x:f>IF($B107="","",IFERROR(VLOOKUP($B107,'Data'!$A$2:$B$113,2,FALSE),""))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</x:row>
    <x:row r="108" ht="22" customHeight="1">
      <x:c r="A108" s="32"/>
      <x:c r="B108" s="33"/>
      <x:c r="C108" s="59"/>
      <x:c r="D108" s="52" t="str">
        <x:f>IF($B108="","",IF(OR(RIGHT(TRIM($B108),2)="P104",RIGHT(TRIM($B108),2)="P105",RIGHT(TRIM($B108),2)="P106",RIGHT(TRIM($B108),2)="P107"),"PS","GS"))</x:f>
      </x:c>
      <x:c r="E108" s="62" t="str">
        <x:f>IF($D108="","",IF($D108="PS",'Data'!$O$5,'Data'!$O$4))</x:f>
      </x:c>
      <x:c r="F108" s="53" t="str">
        <x:f>IF($B108="","",IFERROR(VLOOKUP($B108,'Data'!$A$2:$B$113,2,FALSE),""))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</x:row>
    <x:row r="109" ht="22" customHeight="1">
      <x:c r="A109" s="32"/>
      <x:c r="B109" s="33"/>
      <x:c r="C109" s="59"/>
      <x:c r="D109" s="52" t="str">
        <x:f>IF($B109="","",IF(OR(RIGHT(TRIM($B109),2)="P105",RIGHT(TRIM($B109),2)="P106",RIGHT(TRIM($B109),2)="P107",RIGHT(TRIM($B109),2)="P108"),"PS","GS"))</x:f>
      </x:c>
      <x:c r="E109" s="62" t="str">
        <x:f>IF($D109="","",IF($D109="PS",'Data'!$O$5,'Data'!$O$4))</x:f>
      </x:c>
      <x:c r="F109" s="53" t="str">
        <x:f>IF($B109="","",IFERROR(VLOOKUP($B109,'Data'!$A$2:$B$113,2,FALSE),""))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</x:row>
    <x:row r="110" ht="22" customHeight="1">
      <x:c r="A110" s="32"/>
      <x:c r="B110" s="33"/>
      <x:c r="C110" s="59"/>
      <x:c r="D110" s="52" t="str">
        <x:f>IF($B110="","",IF(OR(RIGHT(TRIM($B110),2)="P106",RIGHT(TRIM($B110),2)="P107",RIGHT(TRIM($B110),2)="P108",RIGHT(TRIM($B110),2)="P109"),"PS","GS"))</x:f>
      </x:c>
      <x:c r="E110" s="62" t="str">
        <x:f>IF($D110="","",IF($D110="PS",'Data'!$O$5,'Data'!$O$4))</x:f>
      </x:c>
      <x:c r="F110" s="53" t="str">
        <x:f>IF($B110="","",IFERROR(VLOOKUP($B110,'Data'!$A$2:$B$113,2,FALSE),""))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</x:row>
    <x:row r="111" ht="22" customHeight="1">
      <x:c r="A111" s="32"/>
      <x:c r="B111" s="33"/>
      <x:c r="C111" s="59"/>
      <x:c r="D111" s="52" t="str">
        <x:f>IF($B111="","",IF(OR(RIGHT(TRIM($B111),2)="P107",RIGHT(TRIM($B111),2)="P108",RIGHT(TRIM($B111),2)="P109",RIGHT(TRIM($B111),2)="P110"),"PS","GS"))</x:f>
      </x:c>
      <x:c r="E111" s="62" t="str">
        <x:f>IF($D111="","",IF($D111="PS",'Data'!$O$5,'Data'!$O$4))</x:f>
      </x:c>
      <x:c r="F111" s="53" t="str">
        <x:f>IF($B111="","",IFERROR(VLOOKUP($B111,'Data'!$A$2:$B$113,2,FALSE),""))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</x:row>
    <x:row r="112" ht="22" customHeight="1">
      <x:c r="A112" s="32"/>
      <x:c r="B112" s="33"/>
      <x:c r="C112" s="59"/>
      <x:c r="D112" s="52" t="str">
        <x:f>IF($B112="","",IF(OR(RIGHT(TRIM($B112),2)="P108",RIGHT(TRIM($B112),2)="P109",RIGHT(TRIM($B112),2)="P110",RIGHT(TRIM($B112),2)="P111"),"PS","GS"))</x:f>
      </x:c>
      <x:c r="E112" s="62" t="str">
        <x:f>IF($D112="","",IF($D112="PS",'Data'!$O$5,'Data'!$O$4))</x:f>
      </x:c>
      <x:c r="F112" s="53" t="str">
        <x:f>IF($B112="","",IFERROR(VLOOKUP($B112,'Data'!$A$2:$B$113,2,FALSE),""))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</x:row>
    <x:row r="113" ht="22" customHeight="1">
      <x:c r="A113" s="32"/>
      <x:c r="B113" s="33"/>
      <x:c r="C113" s="59"/>
      <x:c r="D113" s="52" t="str">
        <x:f>IF($B113="","",IF(OR(RIGHT(TRIM($B113),2)="P109",RIGHT(TRIM($B113),2)="P110",RIGHT(TRIM($B113),2)="P111",RIGHT(TRIM($B113),2)="P112"),"PS","GS"))</x:f>
      </x:c>
      <x:c r="E113" s="62" t="str">
        <x:f>IF($D113="","",IF($D113="PS",'Data'!$O$5,'Data'!$O$4))</x:f>
      </x:c>
      <x:c r="F113" s="53" t="str">
        <x:f>IF($B113="","",IFERROR(VLOOKUP($B113,'Data'!$A$2:$B$113,2,FALSE),""))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</x:row>
    <x:row r="114" ht="22" customHeight="1">
      <x:c r="A114" s="32"/>
      <x:c r="B114" s="33"/>
      <x:c r="C114" s="59"/>
      <x:c r="D114" s="52" t="str">
        <x:f>IF($B114="","",IF(OR(RIGHT(TRIM($B114),2)="P110",RIGHT(TRIM($B114),2)="P111",RIGHT(TRIM($B114),2)="P112",RIGHT(TRIM($B114),2)="P113"),"PS","GS"))</x:f>
      </x:c>
      <x:c r="E114" s="62" t="str">
        <x:f>IF($D114="","",IF($D114="PS",'Data'!$O$5,'Data'!$O$4))</x:f>
      </x:c>
      <x:c r="F114" s="53" t="str">
        <x:f>IF($B114="","",IFERROR(VLOOKUP($B114,'Data'!$A$2:$B$113,2,FALSE),""))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</x:row>
    <x:row r="115" ht="22" customHeight="1">
      <x:c r="A115" s="32"/>
      <x:c r="B115" s="33"/>
      <x:c r="C115" s="59"/>
      <x:c r="D115" s="52" t="str">
        <x:f>IF($B115="","",IF(OR(RIGHT(TRIM($B115),2)="P111",RIGHT(TRIM($B115),2)="P112",RIGHT(TRIM($B115),2)="P113",RIGHT(TRIM($B115),2)="P114"),"PS","GS"))</x:f>
      </x:c>
      <x:c r="E115" s="62" t="str">
        <x:f>IF($D115="","",IF($D115="PS",'Data'!$O$5,'Data'!$O$4))</x:f>
      </x:c>
      <x:c r="F115" s="53" t="str">
        <x:f>IF($B115="","",IFERROR(VLOOKUP($B115,'Data'!$A$2:$B$113,2,FALSE),""))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</x:row>
    <x:row r="116" ht="22" customHeight="1">
      <x:c r="A116" s="32"/>
      <x:c r="B116" s="33"/>
      <x:c r="C116" s="59"/>
      <x:c r="D116" s="52" t="str">
        <x:f>IF($B116="","",IF(OR(RIGHT(TRIM($B116),2)="P112",RIGHT(TRIM($B116),2)="P113",RIGHT(TRIM($B116),2)="P114",RIGHT(TRIM($B116),2)="P115"),"PS","GS"))</x:f>
      </x:c>
      <x:c r="E116" s="62" t="str">
        <x:f>IF($D116="","",IF($D116="PS",'Data'!$O$5,'Data'!$O$4))</x:f>
      </x:c>
      <x:c r="F116" s="53" t="str">
        <x:f>IF($B116="","",IFERROR(VLOOKUP($B116,'Data'!$A$2:$B$113,2,FALSE),""))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</x:row>
    <x:row r="117" ht="22" customHeight="1">
      <x:c r="A117" s="32"/>
      <x:c r="B117" s="33"/>
      <x:c r="C117" s="59"/>
      <x:c r="D117" s="52" t="str">
        <x:f>IF($B117="","",IF(OR(RIGHT(TRIM($B117),2)="P113",RIGHT(TRIM($B117),2)="P114",RIGHT(TRIM($B117),2)="P115",RIGHT(TRIM($B117),2)="P116"),"PS","GS"))</x:f>
      </x:c>
      <x:c r="E117" s="62" t="str">
        <x:f>IF($D117="","",IF($D117="PS",'Data'!$O$5,'Data'!$O$4))</x:f>
      </x:c>
      <x:c r="F117" s="53" t="str">
        <x:f>IF($B117="","",IFERROR(VLOOKUP($B117,'Data'!$A$2:$B$113,2,FALSE),""))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</x:row>
    <x:row r="118" ht="22" customHeight="1">
      <x:c r="A118" s="32"/>
      <x:c r="B118" s="33"/>
      <x:c r="C118" s="59"/>
      <x:c r="D118" s="52" t="str">
        <x:f>IF($B118="","",IF(OR(RIGHT(TRIM($B118),2)="P114",RIGHT(TRIM($B118),2)="P115",RIGHT(TRIM($B118),2)="P116",RIGHT(TRIM($B118),2)="P117"),"PS","GS"))</x:f>
      </x:c>
      <x:c r="E118" s="62" t="str">
        <x:f>IF($D118="","",IF($D118="PS",'Data'!$O$5,'Data'!$O$4))</x:f>
      </x:c>
      <x:c r="F118" s="53" t="str">
        <x:f>IF($B118="","",IFERROR(VLOOKUP($B118,'Data'!$A$2:$B$113,2,FALSE),""))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</x:row>
    <x:row r="119" ht="22" customHeight="1">
      <x:c r="A119" s="32"/>
      <x:c r="B119" s="33"/>
      <x:c r="C119" s="59"/>
      <x:c r="D119" s="52" t="str">
        <x:f>IF($B119="","",IF(OR(RIGHT(TRIM($B119),2)="P115",RIGHT(TRIM($B119),2)="P116",RIGHT(TRIM($B119),2)="P117",RIGHT(TRIM($B119),2)="P118"),"PS","GS"))</x:f>
      </x:c>
      <x:c r="E119" s="62" t="str">
        <x:f>IF($D119="","",IF($D119="PS",'Data'!$O$5,'Data'!$O$4))</x:f>
      </x:c>
      <x:c r="F119" s="53" t="str">
        <x:f>IF($B119="","",IFERROR(VLOOKUP($B119,'Data'!$A$2:$B$113,2,FALSE),""))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</x:row>
    <x:row r="120" ht="22" customHeight="1">
      <x:c r="A120" s="32"/>
      <x:c r="B120" s="33"/>
      <x:c r="C120" s="59"/>
      <x:c r="D120" s="52" t="str">
        <x:f>IF($B120="","",IF(OR(RIGHT(TRIM($B120),2)="P116",RIGHT(TRIM($B120),2)="P117",RIGHT(TRIM($B120),2)="P118",RIGHT(TRIM($B120),2)="P119"),"PS","GS"))</x:f>
      </x:c>
      <x:c r="E120" s="62" t="str">
        <x:f>IF($D120="","",IF($D120="PS",'Data'!$O$5,'Data'!$O$4))</x:f>
      </x:c>
      <x:c r="F120" s="53" t="str">
        <x:f>IF($B120="","",IFERROR(VLOOKUP($B120,'Data'!$A$2:$B$113,2,FALSE),""))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</x:row>
    <x:row r="121" ht="22" customHeight="1">
      <x:c r="A121" s="32"/>
      <x:c r="B121" s="33"/>
      <x:c r="C121" s="59"/>
      <x:c r="D121" s="52" t="str">
        <x:f>IF($B121="","",IF(OR(RIGHT(TRIM($B121),2)="P117",RIGHT(TRIM($B121),2)="P118",RIGHT(TRIM($B121),2)="P119",RIGHT(TRIM($B121),2)="P120"),"PS","GS"))</x:f>
      </x:c>
      <x:c r="E121" s="62" t="str">
        <x:f>IF($D121="","",IF($D121="PS",'Data'!$O$5,'Data'!$O$4))</x:f>
      </x:c>
      <x:c r="F121" s="53" t="str">
        <x:f>IF($B121="","",IFERROR(VLOOKUP($B121,'Data'!$A$2:$B$113,2,FALSE),""))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</x:row>
    <x:row r="122" ht="22" customHeight="1">
      <x:c r="A122" s="32"/>
      <x:c r="B122" s="33"/>
      <x:c r="C122" s="59"/>
      <x:c r="D122" s="52" t="str">
        <x:f>IF($B122="","",IF(OR(RIGHT(TRIM($B122),2)="P118",RIGHT(TRIM($B122),2)="P119",RIGHT(TRIM($B122),2)="P120",RIGHT(TRIM($B122),2)="P121"),"PS","GS"))</x:f>
      </x:c>
      <x:c r="E122" s="62" t="str">
        <x:f>IF($D122="","",IF($D122="PS",'Data'!$O$5,'Data'!$O$4))</x:f>
      </x:c>
      <x:c r="F122" s="53" t="str">
        <x:f>IF($B122="","",IFERROR(VLOOKUP($B122,'Data'!$A$2:$B$113,2,FALSE),""))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</x:row>
    <x:row r="123" ht="22" customHeight="1">
      <x:c r="A123" s="32"/>
      <x:c r="B123" s="33"/>
      <x:c r="C123" s="59"/>
      <x:c r="D123" s="52" t="str">
        <x:f>IF($B123="","",IF(OR(RIGHT(TRIM($B123),2)="P119",RIGHT(TRIM($B123),2)="P120",RIGHT(TRIM($B123),2)="P121",RIGHT(TRIM($B123),2)="P122"),"PS","GS"))</x:f>
      </x:c>
      <x:c r="E123" s="62" t="str">
        <x:f>IF($D123="","",IF($D123="PS",'Data'!$O$5,'Data'!$O$4))</x:f>
      </x:c>
      <x:c r="F123" s="53" t="str">
        <x:f>IF($B123="","",IFERROR(VLOOKUP($B123,'Data'!$A$2:$B$113,2,FALSE),""))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</x:row>
    <x:row r="124" ht="22" customHeight="1">
      <x:c r="A124" s="32"/>
      <x:c r="B124" s="33"/>
      <x:c r="C124" s="59"/>
      <x:c r="D124" s="52" t="str">
        <x:f>IF($B124="","",IF(OR(RIGHT(TRIM($B124),2)="P120",RIGHT(TRIM($B124),2)="P121",RIGHT(TRIM($B124),2)="P122",RIGHT(TRIM($B124),2)="P123"),"PS","GS"))</x:f>
      </x:c>
      <x:c r="E124" s="62" t="str">
        <x:f>IF($D124="","",IF($D124="PS",'Data'!$O$5,'Data'!$O$4))</x:f>
      </x:c>
      <x:c r="F124" s="53" t="str">
        <x:f>IF($B124="","",IFERROR(VLOOKUP($B124,'Data'!$A$2:$B$113,2,FALSE),""))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</x:row>
    <x:row r="125" ht="22" customHeight="1">
      <x:c r="A125" s="32"/>
      <x:c r="B125" s="33"/>
      <x:c r="C125" s="59"/>
      <x:c r="D125" s="52" t="str">
        <x:f>IF($B125="","",IF(OR(RIGHT(TRIM($B125),2)="P121",RIGHT(TRIM($B125),2)="P122",RIGHT(TRIM($B125),2)="P123",RIGHT(TRIM($B125),2)="P124"),"PS","GS"))</x:f>
      </x:c>
      <x:c r="E125" s="62" t="str">
        <x:f>IF($D125="","",IF($D125="PS",'Data'!$O$5,'Data'!$O$4))</x:f>
      </x:c>
      <x:c r="F125" s="53" t="str">
        <x:f>IF($B125="","",IFERROR(VLOOKUP($B125,'Data'!$A$2:$B$113,2,FALSE),""))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</x:row>
    <x:row r="126" ht="22" customHeight="1">
      <x:c r="A126" s="32"/>
      <x:c r="B126" s="33"/>
      <x:c r="C126" s="59"/>
      <x:c r="D126" s="52" t="str">
        <x:f>IF($B126="","",IF(OR(RIGHT(TRIM($B126),2)="P122",RIGHT(TRIM($B126),2)="P123",RIGHT(TRIM($B126),2)="P124",RIGHT(TRIM($B126),2)="P125"),"PS","GS"))</x:f>
      </x:c>
      <x:c r="E126" s="62" t="str">
        <x:f>IF($D126="","",IF($D126="PS",'Data'!$O$5,'Data'!$O$4))</x:f>
      </x:c>
      <x:c r="F126" s="53" t="str">
        <x:f>IF($B126="","",IFERROR(VLOOKUP($B126,'Data'!$A$2:$B$113,2,FALSE),""))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</x:row>
    <x:row r="127" ht="22" customHeight="1">
      <x:c r="A127" s="32"/>
      <x:c r="B127" s="33"/>
      <x:c r="C127" s="59"/>
      <x:c r="D127" s="52" t="str">
        <x:f>IF($B127="","",IF(OR(RIGHT(TRIM($B127),2)="P123",RIGHT(TRIM($B127),2)="P124",RIGHT(TRIM($B127),2)="P125",RIGHT(TRIM($B127),2)="P126"),"PS","GS"))</x:f>
      </x:c>
      <x:c r="E127" s="62" t="str">
        <x:f>IF($D127="","",IF($D127="PS",'Data'!$O$5,'Data'!$O$4))</x:f>
      </x:c>
      <x:c r="F127" s="53" t="str">
        <x:f>IF($B127="","",IFERROR(VLOOKUP($B127,'Data'!$A$2:$B$113,2,FALSE),""))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</x:row>
    <x:row r="128" ht="22" customHeight="1">
      <x:c r="A128" s="32"/>
      <x:c r="B128" s="33"/>
      <x:c r="C128" s="59"/>
      <x:c r="D128" s="52" t="str">
        <x:f>IF($B128="","",IF(OR(RIGHT(TRIM($B128),2)="P124",RIGHT(TRIM($B128),2)="P125",RIGHT(TRIM($B128),2)="P126",RIGHT(TRIM($B128),2)="P127"),"PS","GS"))</x:f>
      </x:c>
      <x:c r="E128" s="62" t="str">
        <x:f>IF($D128="","",IF($D128="PS",'Data'!$O$5,'Data'!$O$4))</x:f>
      </x:c>
      <x:c r="F128" s="53" t="str">
        <x:f>IF($B128="","",IFERROR(VLOOKUP($B128,'Data'!$A$2:$B$113,2,FALSE),""))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</x:row>
    <x:row r="129" ht="22" customHeight="1">
      <x:c r="A129" s="32"/>
      <x:c r="B129" s="33"/>
      <x:c r="C129" s="59"/>
      <x:c r="D129" s="52" t="str">
        <x:f>IF($B129="","",IF(OR(RIGHT(TRIM($B129),2)="P125",RIGHT(TRIM($B129),2)="P126",RIGHT(TRIM($B129),2)="P127",RIGHT(TRIM($B129),2)="P128"),"PS","GS"))</x:f>
      </x:c>
      <x:c r="E129" s="62" t="str">
        <x:f>IF($D129="","",IF($D129="PS",'Data'!$O$5,'Data'!$O$4))</x:f>
      </x:c>
      <x:c r="F129" s="53" t="str">
        <x:f>IF($B129="","",IFERROR(VLOOKUP($B129,'Data'!$A$2:$B$113,2,FALSE),""))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</x:row>
    <x:row r="130" ht="22" customHeight="1">
      <x:c r="A130" s="32"/>
      <x:c r="B130" s="33"/>
      <x:c r="C130" s="59"/>
      <x:c r="D130" s="52" t="str">
        <x:f>IF($B130="","",IF(OR(RIGHT(TRIM($B130),2)="P126",RIGHT(TRIM($B130),2)="P127",RIGHT(TRIM($B130),2)="P128",RIGHT(TRIM($B130),2)="P129"),"PS","GS"))</x:f>
      </x:c>
      <x:c r="E130" s="62" t="str">
        <x:f>IF($D130="","",IF($D130="PS",'Data'!$O$5,'Data'!$O$4))</x:f>
      </x:c>
      <x:c r="F130" s="53" t="str">
        <x:f>IF($B130="","",IFERROR(VLOOKUP($B130,'Data'!$A$2:$B$113,2,FALSE),""))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</x:row>
    <x:row r="131" ht="22" customHeight="1">
      <x:c r="A131" s="32"/>
      <x:c r="B131" s="33"/>
      <x:c r="C131" s="59"/>
      <x:c r="D131" s="52" t="str">
        <x:f>IF($B131="","",IF(OR(RIGHT(TRIM($B131),2)="P127",RIGHT(TRIM($B131),2)="P128",RIGHT(TRIM($B131),2)="P129",RIGHT(TRIM($B131),2)="P130"),"PS","GS"))</x:f>
      </x:c>
      <x:c r="E131" s="62" t="str">
        <x:f>IF($D131="","",IF($D131="PS",'Data'!$O$5,'Data'!$O$4))</x:f>
      </x:c>
      <x:c r="F131" s="53" t="str">
        <x:f>IF($B131="","",IFERROR(VLOOKUP($B131,'Data'!$A$2:$B$113,2,FALSE),""))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</x:row>
    <x:row r="132" ht="22" customHeight="1">
      <x:c r="A132" s="32"/>
      <x:c r="B132" s="33"/>
      <x:c r="C132" s="59"/>
      <x:c r="D132" s="52" t="str">
        <x:f>IF($B132="","",IF(OR(RIGHT(TRIM($B132),2)="P128",RIGHT(TRIM($B132),2)="P129",RIGHT(TRIM($B132),2)="P130",RIGHT(TRIM($B132),2)="P131"),"PS","GS"))</x:f>
      </x:c>
      <x:c r="E132" s="62" t="str">
        <x:f>IF($D132="","",IF($D132="PS",'Data'!$O$5,'Data'!$O$4))</x:f>
      </x:c>
      <x:c r="F132" s="53" t="str">
        <x:f>IF($B132="","",IFERROR(VLOOKUP($B132,'Data'!$A$2:$B$113,2,FALSE),""))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</x:row>
    <x:row r="133" ht="22" customHeight="1">
      <x:c r="A133" s="32"/>
      <x:c r="B133" s="33"/>
      <x:c r="C133" s="59"/>
      <x:c r="D133" s="52" t="str">
        <x:f>IF($B133="","",IF(OR(RIGHT(TRIM($B133),2)="P129",RIGHT(TRIM($B133),2)="P130",RIGHT(TRIM($B133),2)="P131",RIGHT(TRIM($B133),2)="P132"),"PS","GS"))</x:f>
      </x:c>
      <x:c r="E133" s="62" t="str">
        <x:f>IF($D133="","",IF($D133="PS",'Data'!$O$5,'Data'!$O$4))</x:f>
      </x:c>
      <x:c r="F133" s="53" t="str">
        <x:f>IF($B133="","",IFERROR(VLOOKUP($B133,'Data'!$A$2:$B$113,2,FALSE),""))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</x:row>
    <x:row r="134" ht="22" customHeight="1">
      <x:c r="A134" s="32"/>
      <x:c r="B134" s="33"/>
      <x:c r="C134" s="59"/>
      <x:c r="D134" s="52" t="str">
        <x:f>IF($B134="","",IF(OR(RIGHT(TRIM($B134),2)="P130",RIGHT(TRIM($B134),2)="P131",RIGHT(TRIM($B134),2)="P132",RIGHT(TRIM($B134),2)="P133"),"PS","GS"))</x:f>
      </x:c>
      <x:c r="E134" s="62" t="str">
        <x:f>IF($D134="","",IF($D134="PS",'Data'!$O$5,'Data'!$O$4))</x:f>
      </x:c>
      <x:c r="F134" s="53" t="str">
        <x:f>IF($B134="","",IFERROR(VLOOKUP($B134,'Data'!$A$2:$B$113,2,FALSE),""))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</x:row>
    <x:row r="135" ht="22" customHeight="1">
      <x:c r="A135" s="32"/>
      <x:c r="B135" s="33"/>
      <x:c r="C135" s="59"/>
      <x:c r="D135" s="52" t="str">
        <x:f>IF($B135="","",IF(OR(RIGHT(TRIM($B135),2)="P131",RIGHT(TRIM($B135),2)="P132",RIGHT(TRIM($B135),2)="P133",RIGHT(TRIM($B135),2)="P134"),"PS","GS"))</x:f>
      </x:c>
      <x:c r="E135" s="62" t="str">
        <x:f>IF($D135="","",IF($D135="PS",'Data'!$O$5,'Data'!$O$4))</x:f>
      </x:c>
      <x:c r="F135" s="53" t="str">
        <x:f>IF($B135="","",IFERROR(VLOOKUP($B135,'Data'!$A$2:$B$113,2,FALSE),""))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</x:row>
    <x:row r="136" ht="22" customHeight="1">
      <x:c r="A136" s="32"/>
      <x:c r="B136" s="33"/>
      <x:c r="C136" s="59"/>
      <x:c r="D136" s="52" t="str">
        <x:f>IF($B136="","",IF(OR(RIGHT(TRIM($B136),2)="P132",RIGHT(TRIM($B136),2)="P133",RIGHT(TRIM($B136),2)="P134",RIGHT(TRIM($B136),2)="P135"),"PS","GS"))</x:f>
      </x:c>
      <x:c r="E136" s="62" t="str">
        <x:f>IF($D136="","",IF($D136="PS",'Data'!$O$5,'Data'!$O$4))</x:f>
      </x:c>
      <x:c r="F136" s="53" t="str">
        <x:f>IF($B136="","",IFERROR(VLOOKUP($B136,'Data'!$A$2:$B$113,2,FALSE),""))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</x:row>
    <x:row r="137" ht="22" customHeight="1">
      <x:c r="A137" s="32"/>
      <x:c r="B137" s="33"/>
      <x:c r="C137" s="59"/>
      <x:c r="D137" s="52" t="str">
        <x:f>IF($B137="","",IF(OR(RIGHT(TRIM($B137),2)="P133",RIGHT(TRIM($B137),2)="P134",RIGHT(TRIM($B137),2)="P135",RIGHT(TRIM($B137),2)="P136"),"PS","GS"))</x:f>
      </x:c>
      <x:c r="E137" s="62" t="str">
        <x:f>IF($D137="","",IF($D137="PS",'Data'!$O$5,'Data'!$O$4))</x:f>
      </x:c>
      <x:c r="F137" s="53" t="str">
        <x:f>IF($B137="","",IFERROR(VLOOKUP($B137,'Data'!$A$2:$B$113,2,FALSE),""))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</x:row>
    <x:row r="138" ht="22" customHeight="1">
      <x:c r="A138" s="32"/>
      <x:c r="B138" s="33"/>
      <x:c r="C138" s="59"/>
      <x:c r="D138" s="52" t="str">
        <x:f>IF($B138="","",IF(OR(RIGHT(TRIM($B138),2)="P134",RIGHT(TRIM($B138),2)="P135",RIGHT(TRIM($B138),2)="P136",RIGHT(TRIM($B138),2)="P137"),"PS","GS"))</x:f>
      </x:c>
      <x:c r="E138" s="62" t="str">
        <x:f>IF($D138="","",IF($D138="PS",'Data'!$O$5,'Data'!$O$4))</x:f>
      </x:c>
      <x:c r="F138" s="53" t="str">
        <x:f>IF($B138="","",IFERROR(VLOOKUP($B138,'Data'!$A$2:$B$113,2,FALSE),""))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</x:row>
    <x:row r="139" ht="22" customHeight="1">
      <x:c r="A139" s="32"/>
      <x:c r="B139" s="33"/>
      <x:c r="C139" s="59"/>
      <x:c r="D139" s="52" t="str">
        <x:f>IF($B139="","",IF(OR(RIGHT(TRIM($B139),2)="P135",RIGHT(TRIM($B139),2)="P136",RIGHT(TRIM($B139),2)="P137",RIGHT(TRIM($B139),2)="P138"),"PS","GS"))</x:f>
      </x:c>
      <x:c r="E139" s="62" t="str">
        <x:f>IF($D139="","",IF($D139="PS",'Data'!$O$5,'Data'!$O$4))</x:f>
      </x:c>
      <x:c r="F139" s="53" t="str">
        <x:f>IF($B139="","",IFERROR(VLOOKUP($B139,'Data'!$A$2:$B$113,2,FALSE),""))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</x:row>
    <x:row r="140" ht="22" customHeight="1">
      <x:c r="A140" s="32"/>
      <x:c r="B140" s="33"/>
      <x:c r="C140" s="59"/>
      <x:c r="D140" s="52" t="str">
        <x:f>IF($B140="","",IF(OR(RIGHT(TRIM($B140),2)="P136",RIGHT(TRIM($B140),2)="P137",RIGHT(TRIM($B140),2)="P138",RIGHT(TRIM($B140),2)="P139"),"PS","GS"))</x:f>
      </x:c>
      <x:c r="E140" s="62" t="str">
        <x:f>IF($D140="","",IF($D140="PS",'Data'!$O$5,'Data'!$O$4))</x:f>
      </x:c>
      <x:c r="F140" s="53" t="str">
        <x:f>IF($B140="","",IFERROR(VLOOKUP($B140,'Data'!$A$2:$B$113,2,FALSE),""))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</x:row>
    <x:row r="141" ht="22" customHeight="1">
      <x:c r="A141" s="32"/>
      <x:c r="B141" s="33"/>
      <x:c r="C141" s="59"/>
      <x:c r="D141" s="52" t="str">
        <x:f>IF($B141="","",IF(OR(RIGHT(TRIM($B141),2)="P137",RIGHT(TRIM($B141),2)="P138",RIGHT(TRIM($B141),2)="P139",RIGHT(TRIM($B141),2)="P140"),"PS","GS"))</x:f>
      </x:c>
      <x:c r="E141" s="62" t="str">
        <x:f>IF($D141="","",IF($D141="PS",'Data'!$O$5,'Data'!$O$4))</x:f>
      </x:c>
      <x:c r="F141" s="53" t="str">
        <x:f>IF($B141="","",IFERROR(VLOOKUP($B141,'Data'!$A$2:$B$113,2,FALSE),""))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</x:row>
    <x:row r="142" ht="22" customHeight="1">
      <x:c r="A142" s="32"/>
      <x:c r="B142" s="33"/>
      <x:c r="C142" s="59"/>
      <x:c r="D142" s="52" t="str">
        <x:f>IF($B142="","",IF(OR(RIGHT(TRIM($B142),2)="P138",RIGHT(TRIM($B142),2)="P139",RIGHT(TRIM($B142),2)="P140",RIGHT(TRIM($B142),2)="P141"),"PS","GS"))</x:f>
      </x:c>
      <x:c r="E142" s="62" t="str">
        <x:f>IF($D142="","",IF($D142="PS",'Data'!$O$5,'Data'!$O$4))</x:f>
      </x:c>
      <x:c r="F142" s="53" t="str">
        <x:f>IF($B142="","",IFERROR(VLOOKUP($B142,'Data'!$A$2:$B$113,2,FALSE),""))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</x:row>
    <x:row r="143" ht="22" customHeight="1">
      <x:c r="A143" s="32"/>
      <x:c r="B143" s="33"/>
      <x:c r="C143" s="59"/>
      <x:c r="D143" s="52" t="str">
        <x:f>IF($B143="","",IF(OR(RIGHT(TRIM($B143),2)="P139",RIGHT(TRIM($B143),2)="P140",RIGHT(TRIM($B143),2)="P141",RIGHT(TRIM($B143),2)="P142"),"PS","GS"))</x:f>
      </x:c>
      <x:c r="E143" s="62" t="str">
        <x:f>IF($D143="","",IF($D143="PS",'Data'!$O$5,'Data'!$O$4))</x:f>
      </x:c>
      <x:c r="F143" s="53" t="str">
        <x:f>IF($B143="","",IFERROR(VLOOKUP($B143,'Data'!$A$2:$B$113,2,FALSE),""))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</x:row>
    <x:row r="144" ht="22" customHeight="1">
      <x:c r="A144" s="32"/>
      <x:c r="B144" s="33"/>
      <x:c r="C144" s="59"/>
      <x:c r="D144" s="52" t="str">
        <x:f>IF($B144="","",IF(OR(RIGHT(TRIM($B144),2)="P140",RIGHT(TRIM($B144),2)="P141",RIGHT(TRIM($B144),2)="P142",RIGHT(TRIM($B144),2)="P143"),"PS","GS"))</x:f>
      </x:c>
      <x:c r="E144" s="62" t="str">
        <x:f>IF($D144="","",IF($D144="PS",'Data'!$O$5,'Data'!$O$4))</x:f>
      </x:c>
      <x:c r="F144" s="53" t="str">
        <x:f>IF($B144="","",IFERROR(VLOOKUP($B144,'Data'!$A$2:$B$113,2,FALSE),""))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</x:row>
    <x:row r="145" ht="22" customHeight="1">
      <x:c r="A145" s="32"/>
      <x:c r="B145" s="33"/>
      <x:c r="C145" s="59"/>
      <x:c r="D145" s="52" t="str">
        <x:f>IF($B145="","",IF(OR(RIGHT(TRIM($B145),2)="P141",RIGHT(TRIM($B145),2)="P142",RIGHT(TRIM($B145),2)="P143",RIGHT(TRIM($B145),2)="P144"),"PS","GS"))</x:f>
      </x:c>
      <x:c r="E145" s="62" t="str">
        <x:f>IF($D145="","",IF($D145="PS",'Data'!$O$5,'Data'!$O$4))</x:f>
      </x:c>
      <x:c r="F145" s="53" t="str">
        <x:f>IF($B145="","",IFERROR(VLOOKUP($B145,'Data'!$A$2:$B$113,2,FALSE),""))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</x:row>
    <x:row r="146" ht="22" customHeight="1">
      <x:c r="A146" s="32"/>
      <x:c r="B146" s="33"/>
      <x:c r="C146" s="59"/>
      <x:c r="D146" s="52" t="str">
        <x:f>IF($B146="","",IF(OR(RIGHT(TRIM($B146),2)="P142",RIGHT(TRIM($B146),2)="P143",RIGHT(TRIM($B146),2)="P144",RIGHT(TRIM($B146),2)="P145"),"PS","GS"))</x:f>
      </x:c>
      <x:c r="E146" s="62" t="str">
        <x:f>IF($D146="","",IF($D146="PS",'Data'!$O$5,'Data'!$O$4))</x:f>
      </x:c>
      <x:c r="F146" s="53" t="str">
        <x:f>IF($B146="","",IFERROR(VLOOKUP($B146,'Data'!$A$2:$B$113,2,FALSE),""))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</x:row>
    <x:row r="147" ht="22" customHeight="1">
      <x:c r="A147" s="32"/>
      <x:c r="B147" s="33"/>
      <x:c r="C147" s="59"/>
      <x:c r="D147" s="52" t="str">
        <x:f>IF($B147="","",IF(OR(RIGHT(TRIM($B147),2)="P143",RIGHT(TRIM($B147),2)="P144",RIGHT(TRIM($B147),2)="P145",RIGHT(TRIM($B147),2)="P146"),"PS","GS"))</x:f>
      </x:c>
      <x:c r="E147" s="62" t="str">
        <x:f>IF($D147="","",IF($D147="PS",'Data'!$O$5,'Data'!$O$4))</x:f>
      </x:c>
      <x:c r="F147" s="53" t="str">
        <x:f>IF($B147="","",IFERROR(VLOOKUP($B147,'Data'!$A$2:$B$113,2,FALSE),""))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</x:row>
    <x:row r="148" ht="22" customHeight="1">
      <x:c r="A148" s="32"/>
      <x:c r="B148" s="33"/>
      <x:c r="C148" s="59"/>
      <x:c r="D148" s="52" t="str">
        <x:f>IF($B148="","",IF(OR(RIGHT(TRIM($B148),2)="P144",RIGHT(TRIM($B148),2)="P145",RIGHT(TRIM($B148),2)="P146",RIGHT(TRIM($B148),2)="P147"),"PS","GS"))</x:f>
      </x:c>
      <x:c r="E148" s="62" t="str">
        <x:f>IF($D148="","",IF($D148="PS",'Data'!$O$5,'Data'!$O$4))</x:f>
      </x:c>
      <x:c r="F148" s="53" t="str">
        <x:f>IF($B148="","",IFERROR(VLOOKUP($B148,'Data'!$A$2:$B$113,2,FALSE),""))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</x:row>
    <x:row r="149" ht="22" customHeight="1">
      <x:c r="A149" s="32"/>
      <x:c r="B149" s="33"/>
      <x:c r="C149" s="59"/>
      <x:c r="D149" s="52" t="str">
        <x:f>IF($B149="","",IF(OR(RIGHT(TRIM($B149),2)="P145",RIGHT(TRIM($B149),2)="P146",RIGHT(TRIM($B149),2)="P147",RIGHT(TRIM($B149),2)="P148"),"PS","GS"))</x:f>
      </x:c>
      <x:c r="E149" s="62" t="str">
        <x:f>IF($D149="","",IF($D149="PS",'Data'!$O$5,'Data'!$O$4))</x:f>
      </x:c>
      <x:c r="F149" s="53" t="str">
        <x:f>IF($B149="","",IFERROR(VLOOKUP($B149,'Data'!$A$2:$B$113,2,FALSE),""))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</x:row>
    <x:row r="150" ht="22" customHeight="1">
      <x:c r="A150" s="32"/>
      <x:c r="B150" s="33"/>
      <x:c r="C150" s="59"/>
      <x:c r="D150" s="52" t="str">
        <x:f>IF($B150="","",IF(OR(RIGHT(TRIM($B150),2)="P146",RIGHT(TRIM($B150),2)="P147",RIGHT(TRIM($B150),2)="P148",RIGHT(TRIM($B150),2)="P149"),"PS","GS"))</x:f>
      </x:c>
      <x:c r="E150" s="62" t="str">
        <x:f>IF($D150="","",IF($D150="PS",'Data'!$O$5,'Data'!$O$4))</x:f>
      </x:c>
      <x:c r="F150" s="53" t="str">
        <x:f>IF($B150="","",IFERROR(VLOOKUP($B150,'Data'!$A$2:$B$113,2,FALSE),""))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</x:row>
    <x:row r="151" ht="22" customHeight="1">
      <x:c r="A151" s="32"/>
      <x:c r="B151" s="33"/>
      <x:c r="C151" s="59"/>
      <x:c r="D151" s="52" t="str">
        <x:f>IF($B151="","",IF(OR(RIGHT(TRIM($B151),2)="P147",RIGHT(TRIM($B151),2)="P148",RIGHT(TRIM($B151),2)="P149",RIGHT(TRIM($B151),2)="P150"),"PS","GS"))</x:f>
      </x:c>
      <x:c r="E151" s="62" t="str">
        <x:f>IF($D151="","",IF($D151="PS",'Data'!$O$5,'Data'!$O$4))</x:f>
      </x:c>
      <x:c r="F151" s="53" t="str">
        <x:f>IF($B151="","",IFERROR(VLOOKUP($B151,'Data'!$A$2:$B$113,2,FALSE),""))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</x:row>
    <x:row r="152" ht="22" customHeight="1">
      <x:c r="A152" s="32"/>
      <x:c r="B152" s="33"/>
      <x:c r="C152" s="59"/>
      <x:c r="D152" s="52" t="str">
        <x:f>IF($B152="","",IF(OR(RIGHT(TRIM($B152),2)="P148",RIGHT(TRIM($B152),2)="P149",RIGHT(TRIM($B152),2)="P150",RIGHT(TRIM($B152),2)="P151"),"PS","GS"))</x:f>
      </x:c>
      <x:c r="E152" s="62" t="str">
        <x:f>IF($D152="","",IF($D152="PS",'Data'!$O$5,'Data'!$O$4))</x:f>
      </x:c>
      <x:c r="F152" s="53" t="str">
        <x:f>IF($B152="","",IFERROR(VLOOKUP($B152,'Data'!$A$2:$B$113,2,FALSE),""))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</x:row>
    <x:row r="153" ht="22" customHeight="1">
      <x:c r="A153" s="32"/>
      <x:c r="B153" s="33"/>
      <x:c r="C153" s="59"/>
      <x:c r="D153" s="52" t="str">
        <x:f>IF($B153="","",IF(OR(RIGHT(TRIM($B153),2)="P149",RIGHT(TRIM($B153),2)="P150",RIGHT(TRIM($B153),2)="P151",RIGHT(TRIM($B153),2)="P152"),"PS","GS"))</x:f>
      </x:c>
      <x:c r="E153" s="62" t="str">
        <x:f>IF($D153="","",IF($D153="PS",'Data'!$O$5,'Data'!$O$4))</x:f>
      </x:c>
      <x:c r="F153" s="53" t="str">
        <x:f>IF($B153="","",IFERROR(VLOOKUP($B153,'Data'!$A$2:$B$113,2,FALSE),""))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</x:row>
    <x:row r="154" ht="22" customHeight="1">
      <x:c r="A154" s="32"/>
      <x:c r="B154" s="33"/>
      <x:c r="C154" s="59"/>
      <x:c r="D154" s="52" t="str">
        <x:f>IF($B154="","",IF(OR(RIGHT(TRIM($B154),2)="P150",RIGHT(TRIM($B154),2)="P151",RIGHT(TRIM($B154),2)="P152",RIGHT(TRIM($B154),2)="P153"),"PS","GS"))</x:f>
      </x:c>
      <x:c r="E154" s="62" t="str">
        <x:f>IF($D154="","",IF($D154="PS",'Data'!$O$5,'Data'!$O$4))</x:f>
      </x:c>
      <x:c r="F154" s="53" t="str">
        <x:f>IF($B154="","",IFERROR(VLOOKUP($B154,'Data'!$A$2:$B$113,2,FALSE),""))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</x:row>
    <x:row r="155" ht="22" customHeight="1">
      <x:c r="A155" s="32"/>
      <x:c r="B155" s="33"/>
      <x:c r="C155" s="59"/>
      <x:c r="D155" s="52" t="str">
        <x:f>IF($B155="","",IF(OR(RIGHT(TRIM($B155),2)="P151",RIGHT(TRIM($B155),2)="P152",RIGHT(TRIM($B155),2)="P153",RIGHT(TRIM($B155),2)="P154"),"PS","GS"))</x:f>
      </x:c>
      <x:c r="E155" s="62" t="str">
        <x:f>IF($D155="","",IF($D155="PS",'Data'!$O$5,'Data'!$O$4))</x:f>
      </x:c>
      <x:c r="F155" s="53" t="str">
        <x:f>IF($B155="","",IFERROR(VLOOKUP($B155,'Data'!$A$2:$B$113,2,FALSE),""))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</x:row>
    <x:row r="156" ht="22" customHeight="1">
      <x:c r="A156" s="32"/>
      <x:c r="B156" s="33"/>
      <x:c r="C156" s="59"/>
      <x:c r="D156" s="52" t="str">
        <x:f>IF($B156="","",IF(OR(RIGHT(TRIM($B156),2)="P152",RIGHT(TRIM($B156),2)="P153",RIGHT(TRIM($B156),2)="P154",RIGHT(TRIM($B156),2)="P155"),"PS","GS"))</x:f>
      </x:c>
      <x:c r="E156" s="62" t="str">
        <x:f>IF($D156="","",IF($D156="PS",'Data'!$O$5,'Data'!$O$4))</x:f>
      </x:c>
      <x:c r="F156" s="53" t="str">
        <x:f>IF($B156="","",IFERROR(VLOOKUP($B156,'Data'!$A$2:$B$113,2,FALSE),""))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</x:row>
    <x:row r="157" ht="22" customHeight="1">
      <x:c r="A157" s="32"/>
      <x:c r="B157" s="33"/>
      <x:c r="C157" s="59"/>
      <x:c r="D157" s="52" t="str">
        <x:f>IF($B157="","",IF(OR(RIGHT(TRIM($B157),2)="P153",RIGHT(TRIM($B157),2)="P154",RIGHT(TRIM($B157),2)="P155",RIGHT(TRIM($B157),2)="P156"),"PS","GS"))</x:f>
      </x:c>
      <x:c r="E157" s="62" t="str">
        <x:f>IF($D157="","",IF($D157="PS",'Data'!$O$5,'Data'!$O$4))</x:f>
      </x:c>
      <x:c r="F157" s="53" t="str">
        <x:f>IF($B157="","",IFERROR(VLOOKUP($B157,'Data'!$A$2:$B$113,2,FALSE),""))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</x:row>
    <x:row r="158" ht="22" customHeight="1">
      <x:c r="A158" s="32"/>
      <x:c r="B158" s="33"/>
      <x:c r="C158" s="59"/>
      <x:c r="D158" s="52" t="str">
        <x:f>IF($B158="","",IF(OR(RIGHT(TRIM($B158),2)="P154",RIGHT(TRIM($B158),2)="P155",RIGHT(TRIM($B158),2)="P156",RIGHT(TRIM($B158),2)="P157"),"PS","GS"))</x:f>
      </x:c>
      <x:c r="E158" s="62" t="str">
        <x:f>IF($D158="","",IF($D158="PS",'Data'!$O$5,'Data'!$O$4))</x:f>
      </x:c>
      <x:c r="F158" s="53" t="str">
        <x:f>IF($B158="","",IFERROR(VLOOKUP($B158,'Data'!$A$2:$B$113,2,FALSE),""))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</x:row>
    <x:row r="159" ht="22" customHeight="1">
      <x:c r="A159" s="32"/>
      <x:c r="B159" s="33"/>
      <x:c r="C159" s="59"/>
      <x:c r="D159" s="52" t="str">
        <x:f>IF($B159="","",IF(OR(RIGHT(TRIM($B159),2)="P155",RIGHT(TRIM($B159),2)="P156",RIGHT(TRIM($B159),2)="P157",RIGHT(TRIM($B159),2)="P158"),"PS","GS"))</x:f>
      </x:c>
      <x:c r="E159" s="62" t="str">
        <x:f>IF($D159="","",IF($D159="PS",'Data'!$O$5,'Data'!$O$4))</x:f>
      </x:c>
      <x:c r="F159" s="53" t="str">
        <x:f>IF($B159="","",IFERROR(VLOOKUP($B159,'Data'!$A$2:$B$113,2,FALSE),""))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</x:row>
    <x:row r="160" ht="22" customHeight="1">
      <x:c r="A160" s="32"/>
      <x:c r="B160" s="33"/>
      <x:c r="C160" s="59"/>
      <x:c r="D160" s="52" t="str">
        <x:f>IF($B160="","",IF(OR(RIGHT(TRIM($B160),2)="P156",RIGHT(TRIM($B160),2)="P157",RIGHT(TRIM($B160),2)="P158",RIGHT(TRIM($B160),2)="P159"),"PS","GS"))</x:f>
      </x:c>
      <x:c r="E160" s="62" t="str">
        <x:f>IF($D160="","",IF($D160="PS",'Data'!$O$5,'Data'!$O$4))</x:f>
      </x:c>
      <x:c r="F160" s="53" t="str">
        <x:f>IF($B160="","",IFERROR(VLOOKUP($B160,'Data'!$A$2:$B$113,2,FALSE),""))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</x:row>
    <x:row r="161" ht="22" customHeight="1">
      <x:c r="A161" s="32"/>
      <x:c r="B161" s="33"/>
      <x:c r="C161" s="59"/>
      <x:c r="D161" s="52" t="str">
        <x:f>IF($B161="","",IF(OR(RIGHT(TRIM($B161),2)="P157",RIGHT(TRIM($B161),2)="P158",RIGHT(TRIM($B161),2)="P159",RIGHT(TRIM($B161),2)="P160"),"PS","GS"))</x:f>
      </x:c>
      <x:c r="E161" s="62" t="str">
        <x:f>IF($D161="","",IF($D161="PS",'Data'!$O$5,'Data'!$O$4))</x:f>
      </x:c>
      <x:c r="F161" s="53" t="str">
        <x:f>IF($B161="","",IFERROR(VLOOKUP($B161,'Data'!$A$2:$B$113,2,FALSE),""))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</x:row>
    <x:row r="162" ht="22" customHeight="1">
      <x:c r="A162" s="32"/>
      <x:c r="B162" s="33"/>
      <x:c r="C162" s="59"/>
      <x:c r="D162" s="52" t="str">
        <x:f>IF($B162="","",IF(OR(RIGHT(TRIM($B162),2)="P158",RIGHT(TRIM($B162),2)="P159",RIGHT(TRIM($B162),2)="P160",RIGHT(TRIM($B162),2)="P161"),"PS","GS"))</x:f>
      </x:c>
      <x:c r="E162" s="62" t="str">
        <x:f>IF($D162="","",IF($D162="PS",'Data'!$O$5,'Data'!$O$4))</x:f>
      </x:c>
      <x:c r="F162" s="53" t="str">
        <x:f>IF($B162="","",IFERROR(VLOOKUP($B162,'Data'!$A$2:$B$113,2,FALSE),""))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</x:row>
    <x:row r="163" ht="22" customHeight="1">
      <x:c r="A163" s="32"/>
      <x:c r="B163" s="33"/>
      <x:c r="C163" s="59"/>
      <x:c r="D163" s="52" t="str">
        <x:f>IF($B163="","",IF(OR(RIGHT(TRIM($B163),2)="P159",RIGHT(TRIM($B163),2)="P160",RIGHT(TRIM($B163),2)="P161",RIGHT(TRIM($B163),2)="P162"),"PS","GS"))</x:f>
      </x:c>
      <x:c r="E163" s="62" t="str">
        <x:f>IF($D163="","",IF($D163="PS",'Data'!$O$5,'Data'!$O$4))</x:f>
      </x:c>
      <x:c r="F163" s="53" t="str">
        <x:f>IF($B163="","",IFERROR(VLOOKUP($B163,'Data'!$A$2:$B$113,2,FALSE),""))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</x:row>
    <x:row r="164" ht="22" customHeight="1">
      <x:c r="A164" s="32"/>
      <x:c r="B164" s="33"/>
      <x:c r="C164" s="59"/>
      <x:c r="D164" s="52" t="str">
        <x:f>IF($B164="","",IF(OR(RIGHT(TRIM($B164),2)="P160",RIGHT(TRIM($B164),2)="P161",RIGHT(TRIM($B164),2)="P162",RIGHT(TRIM($B164),2)="P163"),"PS","GS"))</x:f>
      </x:c>
      <x:c r="E164" s="62" t="str">
        <x:f>IF($D164="","",IF($D164="PS",'Data'!$O$5,'Data'!$O$4))</x:f>
      </x:c>
      <x:c r="F164" s="53" t="str">
        <x:f>IF($B164="","",IFERROR(VLOOKUP($B164,'Data'!$A$2:$B$113,2,FALSE),""))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</x:row>
    <x:row r="165" ht="22" customHeight="1">
      <x:c r="A165" s="32"/>
      <x:c r="B165" s="33"/>
      <x:c r="C165" s="59"/>
      <x:c r="D165" s="52" t="str">
        <x:f>IF($B165="","",IF(OR(RIGHT(TRIM($B165),2)="P161",RIGHT(TRIM($B165),2)="P162",RIGHT(TRIM($B165),2)="P163",RIGHT(TRIM($B165),2)="P164"),"PS","GS"))</x:f>
      </x:c>
      <x:c r="E165" s="62" t="str">
        <x:f>IF($D165="","",IF($D165="PS",'Data'!$O$5,'Data'!$O$4))</x:f>
      </x:c>
      <x:c r="F165" s="53" t="str">
        <x:f>IF($B165="","",IFERROR(VLOOKUP($B165,'Data'!$A$2:$B$113,2,FALSE),""))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</x:row>
    <x:row r="166" ht="22" customHeight="1">
      <x:c r="A166" s="32"/>
      <x:c r="B166" s="33"/>
      <x:c r="C166" s="59"/>
      <x:c r="D166" s="52" t="str">
        <x:f>IF($B166="","",IF(OR(RIGHT(TRIM($B166),2)="P162",RIGHT(TRIM($B166),2)="P163",RIGHT(TRIM($B166),2)="P164",RIGHT(TRIM($B166),2)="P165"),"PS","GS"))</x:f>
      </x:c>
      <x:c r="E166" s="62" t="str">
        <x:f>IF($D166="","",IF($D166="PS",'Data'!$O$5,'Data'!$O$4))</x:f>
      </x:c>
      <x:c r="F166" s="53" t="str">
        <x:f>IF($B166="","",IFERROR(VLOOKUP($B166,'Data'!$A$2:$B$113,2,FALSE),""))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</x:row>
    <x:row r="167" ht="22" customHeight="1">
      <x:c r="A167" s="32"/>
      <x:c r="B167" s="33"/>
      <x:c r="C167" s="59"/>
      <x:c r="D167" s="52" t="str">
        <x:f>IF($B167="","",IF(OR(RIGHT(TRIM($B167),2)="P163",RIGHT(TRIM($B167),2)="P164",RIGHT(TRIM($B167),2)="P165",RIGHT(TRIM($B167),2)="P166"),"PS","GS"))</x:f>
      </x:c>
      <x:c r="E167" s="62" t="str">
        <x:f>IF($D167="","",IF($D167="PS",'Data'!$O$5,'Data'!$O$4))</x:f>
      </x:c>
      <x:c r="F167" s="53" t="str">
        <x:f>IF($B167="","",IFERROR(VLOOKUP($B167,'Data'!$A$2:$B$113,2,FALSE),""))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</x:row>
    <x:row r="168" ht="22" customHeight="1">
      <x:c r="A168" s="32"/>
      <x:c r="B168" s="33"/>
      <x:c r="C168" s="59"/>
      <x:c r="D168" s="52" t="str">
        <x:f>IF($B168="","",IF(OR(RIGHT(TRIM($B168),2)="P164",RIGHT(TRIM($B168),2)="P165",RIGHT(TRIM($B168),2)="P166",RIGHT(TRIM($B168),2)="P167"),"PS","GS"))</x:f>
      </x:c>
      <x:c r="E168" s="62" t="str">
        <x:f>IF($D168="","",IF($D168="PS",'Data'!$O$5,'Data'!$O$4))</x:f>
      </x:c>
      <x:c r="F168" s="53" t="str">
        <x:f>IF($B168="","",IFERROR(VLOOKUP($B168,'Data'!$A$2:$B$113,2,FALSE),""))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</x:row>
    <x:row r="169" ht="22" customHeight="1">
      <x:c r="A169" s="32"/>
      <x:c r="B169" s="33"/>
      <x:c r="C169" s="59"/>
      <x:c r="D169" s="52" t="str">
        <x:f>IF($B169="","",IF(OR(RIGHT(TRIM($B169),2)="P165",RIGHT(TRIM($B169),2)="P166",RIGHT(TRIM($B169),2)="P167",RIGHT(TRIM($B169),2)="P168"),"PS","GS"))</x:f>
      </x:c>
      <x:c r="E169" s="62" t="str">
        <x:f>IF($D169="","",IF($D169="PS",'Data'!$O$5,'Data'!$O$4))</x:f>
      </x:c>
      <x:c r="F169" s="53" t="str">
        <x:f>IF($B169="","",IFERROR(VLOOKUP($B169,'Data'!$A$2:$B$113,2,FALSE),""))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</x:row>
    <x:row r="170" ht="22" customHeight="1">
      <x:c r="A170" s="32"/>
      <x:c r="B170" s="33"/>
      <x:c r="C170" s="59"/>
      <x:c r="D170" s="52" t="str">
        <x:f>IF($B170="","",IF(OR(RIGHT(TRIM($B170),2)="P166",RIGHT(TRIM($B170),2)="P167",RIGHT(TRIM($B170),2)="P168",RIGHT(TRIM($B170),2)="P169"),"PS","GS"))</x:f>
      </x:c>
      <x:c r="E170" s="62" t="str">
        <x:f>IF($D170="","",IF($D170="PS",'Data'!$O$5,'Data'!$O$4))</x:f>
      </x:c>
      <x:c r="F170" s="53" t="str">
        <x:f>IF($B170="","",IFERROR(VLOOKUP($B170,'Data'!$A$2:$B$113,2,FALSE),""))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</x:row>
    <x:row r="171" ht="22" customHeight="1">
      <x:c r="A171" s="32"/>
      <x:c r="B171" s="33"/>
      <x:c r="C171" s="59"/>
      <x:c r="D171" s="52" t="str">
        <x:f>IF($B171="","",IF(OR(RIGHT(TRIM($B171),2)="P167",RIGHT(TRIM($B171),2)="P168",RIGHT(TRIM($B171),2)="P169",RIGHT(TRIM($B171),2)="P170"),"PS","GS"))</x:f>
      </x:c>
      <x:c r="E171" s="62" t="str">
        <x:f>IF($D171="","",IF($D171="PS",'Data'!$O$5,'Data'!$O$4))</x:f>
      </x:c>
      <x:c r="F171" s="53" t="str">
        <x:f>IF($B171="","",IFERROR(VLOOKUP($B171,'Data'!$A$2:$B$113,2,FALSE),""))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</x:row>
    <x:row r="172" ht="22" customHeight="1">
      <x:c r="A172" s="32"/>
      <x:c r="B172" s="33"/>
      <x:c r="C172" s="59"/>
      <x:c r="D172" s="52" t="str">
        <x:f>IF($B172="","",IF(OR(RIGHT(TRIM($B172),2)="P168",RIGHT(TRIM($B172),2)="P169",RIGHT(TRIM($B172),2)="P170",RIGHT(TRIM($B172),2)="P171"),"PS","GS"))</x:f>
      </x:c>
      <x:c r="E172" s="62" t="str">
        <x:f>IF($D172="","",IF($D172="PS",'Data'!$O$5,'Data'!$O$4))</x:f>
      </x:c>
      <x:c r="F172" s="53" t="str">
        <x:f>IF($B172="","",IFERROR(VLOOKUP($B172,'Data'!$A$2:$B$113,2,FALSE),""))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</x:row>
    <x:row r="173" ht="22" customHeight="1">
      <x:c r="A173" s="32"/>
      <x:c r="B173" s="33"/>
      <x:c r="C173" s="59"/>
      <x:c r="D173" s="52" t="str">
        <x:f>IF($B173="","",IF(OR(RIGHT(TRIM($B173),2)="P169",RIGHT(TRIM($B173),2)="P170",RIGHT(TRIM($B173),2)="P171",RIGHT(TRIM($B173),2)="P172"),"PS","GS"))</x:f>
      </x:c>
      <x:c r="E173" s="62" t="str">
        <x:f>IF($D173="","",IF($D173="PS",'Data'!$O$5,'Data'!$O$4))</x:f>
      </x:c>
      <x:c r="F173" s="53" t="str">
        <x:f>IF($B173="","",IFERROR(VLOOKUP($B173,'Data'!$A$2:$B$113,2,FALSE),""))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</x:row>
    <x:row r="174" ht="22" customHeight="1">
      <x:c r="A174" s="32"/>
      <x:c r="B174" s="33"/>
      <x:c r="C174" s="59"/>
      <x:c r="D174" s="52" t="str">
        <x:f>IF($B174="","",IF(OR(RIGHT(TRIM($B174),2)="P170",RIGHT(TRIM($B174),2)="P171",RIGHT(TRIM($B174),2)="P172",RIGHT(TRIM($B174),2)="P173"),"PS","GS"))</x:f>
      </x:c>
      <x:c r="E174" s="62" t="str">
        <x:f>IF($D174="","",IF($D174="PS",'Data'!$O$5,'Data'!$O$4))</x:f>
      </x:c>
      <x:c r="F174" s="53" t="str">
        <x:f>IF($B174="","",IFERROR(VLOOKUP($B174,'Data'!$A$2:$B$113,2,FALSE),""))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</x:row>
    <x:row r="175" ht="22" customHeight="1">
      <x:c r="A175" s="32"/>
      <x:c r="B175" s="33"/>
      <x:c r="C175" s="59"/>
      <x:c r="D175" s="52" t="str">
        <x:f>IF($B175="","",IF(OR(RIGHT(TRIM($B175),2)="P171",RIGHT(TRIM($B175),2)="P172",RIGHT(TRIM($B175),2)="P173",RIGHT(TRIM($B175),2)="P174"),"PS","GS"))</x:f>
      </x:c>
      <x:c r="E175" s="62" t="str">
        <x:f>IF($D175="","",IF($D175="PS",'Data'!$O$5,'Data'!$O$4))</x:f>
      </x:c>
      <x:c r="F175" s="53" t="str">
        <x:f>IF($B175="","",IFERROR(VLOOKUP($B175,'Data'!$A$2:$B$113,2,FALSE),""))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</x:row>
    <x:row r="176" ht="22" customHeight="1">
      <x:c r="A176" s="32"/>
      <x:c r="B176" s="33"/>
      <x:c r="C176" s="59"/>
      <x:c r="D176" s="52" t="str">
        <x:f>IF($B176="","",IF(OR(RIGHT(TRIM($B176),2)="P172",RIGHT(TRIM($B176),2)="P173",RIGHT(TRIM($B176),2)="P174",RIGHT(TRIM($B176),2)="P175"),"PS","GS"))</x:f>
      </x:c>
      <x:c r="E176" s="62" t="str">
        <x:f>IF($D176="","",IF($D176="PS",'Data'!$O$5,'Data'!$O$4))</x:f>
      </x:c>
      <x:c r="F176" s="53" t="str">
        <x:f>IF($B176="","",IFERROR(VLOOKUP($B176,'Data'!$A$2:$B$113,2,FALSE),""))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</x:row>
    <x:row r="177" ht="22" customHeight="1">
      <x:c r="A177" s="32"/>
      <x:c r="B177" s="33"/>
      <x:c r="C177" s="59"/>
      <x:c r="D177" s="52" t="str">
        <x:f>IF($B177="","",IF(OR(RIGHT(TRIM($B177),2)="P173",RIGHT(TRIM($B177),2)="P174",RIGHT(TRIM($B177),2)="P175",RIGHT(TRIM($B177),2)="P176"),"PS","GS"))</x:f>
      </x:c>
      <x:c r="E177" s="62" t="str">
        <x:f>IF($D177="","",IF($D177="PS",'Data'!$O$5,'Data'!$O$4))</x:f>
      </x:c>
      <x:c r="F177" s="53" t="str">
        <x:f>IF($B177="","",IFERROR(VLOOKUP($B177,'Data'!$A$2:$B$113,2,FALSE),""))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</x:row>
    <x:row r="178" ht="22" customHeight="1">
      <x:c r="A178" s="32"/>
      <x:c r="B178" s="33"/>
      <x:c r="C178" s="59"/>
      <x:c r="D178" s="52" t="str">
        <x:f>IF($B178="","",IF(OR(RIGHT(TRIM($B178),2)="P174",RIGHT(TRIM($B178),2)="P175",RIGHT(TRIM($B178),2)="P176",RIGHT(TRIM($B178),2)="P177"),"PS","GS"))</x:f>
      </x:c>
      <x:c r="E178" s="62" t="str">
        <x:f>IF($D178="","",IF($D178="PS",'Data'!$O$5,'Data'!$O$4))</x:f>
      </x:c>
      <x:c r="F178" s="53" t="str">
        <x:f>IF($B178="","",IFERROR(VLOOKUP($B178,'Data'!$A$2:$B$113,2,FALSE),""))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</x:row>
    <x:row r="179" ht="22" customHeight="1">
      <x:c r="A179" s="32"/>
      <x:c r="B179" s="33"/>
      <x:c r="C179" s="59"/>
      <x:c r="D179" s="52" t="str">
        <x:f>IF($B179="","",IF(OR(RIGHT(TRIM($B179),2)="P175",RIGHT(TRIM($B179),2)="P176",RIGHT(TRIM($B179),2)="P177",RIGHT(TRIM($B179),2)="P178"),"PS","GS"))</x:f>
      </x:c>
      <x:c r="E179" s="62" t="str">
        <x:f>IF($D179="","",IF($D179="PS",'Data'!$O$5,'Data'!$O$4))</x:f>
      </x:c>
      <x:c r="F179" s="53" t="str">
        <x:f>IF($B179="","",IFERROR(VLOOKUP($B179,'Data'!$A$2:$B$113,2,FALSE),""))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</x:row>
    <x:row r="180" ht="22" customHeight="1">
      <x:c r="A180" s="32"/>
      <x:c r="B180" s="33"/>
      <x:c r="C180" s="59"/>
      <x:c r="D180" s="52" t="str">
        <x:f>IF($B180="","",IF(OR(RIGHT(TRIM($B180),2)="P176",RIGHT(TRIM($B180),2)="P177",RIGHT(TRIM($B180),2)="P178",RIGHT(TRIM($B180),2)="P179"),"PS","GS"))</x:f>
      </x:c>
      <x:c r="E180" s="62" t="str">
        <x:f>IF($D180="","",IF($D180="PS",'Data'!$O$5,'Data'!$O$4))</x:f>
      </x:c>
      <x:c r="F180" s="53" t="str">
        <x:f>IF($B180="","",IFERROR(VLOOKUP($B180,'Data'!$A$2:$B$113,2,FALSE),""))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</x:row>
    <x:row r="181" ht="22" customHeight="1">
      <x:c r="A181" s="32"/>
      <x:c r="B181" s="33"/>
      <x:c r="C181" s="59"/>
      <x:c r="D181" s="52" t="str">
        <x:f>IF($B181="","",IF(OR(RIGHT(TRIM($B181),2)="P177",RIGHT(TRIM($B181),2)="P178",RIGHT(TRIM($B181),2)="P179",RIGHT(TRIM($B181),2)="P180"),"PS","GS"))</x:f>
      </x:c>
      <x:c r="E181" s="62" t="str">
        <x:f>IF($D181="","",IF($D181="PS",'Data'!$O$5,'Data'!$O$4))</x:f>
      </x:c>
      <x:c r="F181" s="53" t="str">
        <x:f>IF($B181="","",IFERROR(VLOOKUP($B181,'Data'!$A$2:$B$113,2,FALSE),""))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</x:row>
    <x:row r="182" ht="22" customHeight="1">
      <x:c r="A182" s="32"/>
      <x:c r="B182" s="33"/>
      <x:c r="C182" s="59"/>
      <x:c r="D182" s="52" t="str">
        <x:f>IF($B182="","",IF(OR(RIGHT(TRIM($B182),2)="P178",RIGHT(TRIM($B182),2)="P179",RIGHT(TRIM($B182),2)="P180",RIGHT(TRIM($B182),2)="P181"),"PS","GS"))</x:f>
      </x:c>
      <x:c r="E182" s="62" t="str">
        <x:f>IF($D182="","",IF($D182="PS",'Data'!$O$5,'Data'!$O$4))</x:f>
      </x:c>
      <x:c r="F182" s="53" t="str">
        <x:f>IF($B182="","",IFERROR(VLOOKUP($B182,'Data'!$A$2:$B$113,2,FALSE),""))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</x:row>
    <x:row r="183" ht="22" customHeight="1">
      <x:c r="A183" s="32"/>
      <x:c r="B183" s="33"/>
      <x:c r="C183" s="59"/>
      <x:c r="D183" s="52" t="str">
        <x:f>IF($B183="","",IF(OR(RIGHT(TRIM($B183),2)="P179",RIGHT(TRIM($B183),2)="P180",RIGHT(TRIM($B183),2)="P181",RIGHT(TRIM($B183),2)="P182"),"PS","GS"))</x:f>
      </x:c>
      <x:c r="E183" s="62" t="str">
        <x:f>IF($D183="","",IF($D183="PS",'Data'!$O$5,'Data'!$O$4))</x:f>
      </x:c>
      <x:c r="F183" s="53" t="str">
        <x:f>IF($B183="","",IFERROR(VLOOKUP($B183,'Data'!$A$2:$B$113,2,FALSE),""))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</x:row>
    <x:row r="184" ht="22" customHeight="1">
      <x:c r="A184" s="32"/>
      <x:c r="B184" s="33"/>
      <x:c r="C184" s="59"/>
      <x:c r="D184" s="52" t="str">
        <x:f>IF($B184="","",IF(OR(RIGHT(TRIM($B184),2)="P180",RIGHT(TRIM($B184),2)="P181",RIGHT(TRIM($B184),2)="P182",RIGHT(TRIM($B184),2)="P183"),"PS","GS"))</x:f>
      </x:c>
      <x:c r="E184" s="62" t="str">
        <x:f>IF($D184="","",IF($D184="PS",'Data'!$O$5,'Data'!$O$4))</x:f>
      </x:c>
      <x:c r="F184" s="53" t="str">
        <x:f>IF($B184="","",IFERROR(VLOOKUP($B184,'Data'!$A$2:$B$113,2,FALSE),""))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</x:row>
    <x:row r="185" ht="22" customHeight="1">
      <x:c r="A185" s="32"/>
      <x:c r="B185" s="33"/>
      <x:c r="C185" s="59"/>
      <x:c r="D185" s="52" t="str">
        <x:f>IF($B185="","",IF(OR(RIGHT(TRIM($B185),2)="P181",RIGHT(TRIM($B185),2)="P182",RIGHT(TRIM($B185),2)="P183",RIGHT(TRIM($B185),2)="P184"),"PS","GS"))</x:f>
      </x:c>
      <x:c r="E185" s="62" t="str">
        <x:f>IF($D185="","",IF($D185="PS",'Data'!$O$5,'Data'!$O$4))</x:f>
      </x:c>
      <x:c r="F185" s="53" t="str">
        <x:f>IF($B185="","",IFERROR(VLOOKUP($B185,'Data'!$A$2:$B$113,2,FALSE),""))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</x:row>
    <x:row r="186" ht="22" customHeight="1">
      <x:c r="A186" s="32"/>
      <x:c r="B186" s="33"/>
      <x:c r="C186" s="59"/>
      <x:c r="D186" s="52" t="str">
        <x:f>IF($B186="","",IF(OR(RIGHT(TRIM($B186),2)="P182",RIGHT(TRIM($B186),2)="P183",RIGHT(TRIM($B186),2)="P184",RIGHT(TRIM($B186),2)="P185"),"PS","GS"))</x:f>
      </x:c>
      <x:c r="E186" s="62" t="str">
        <x:f>IF($D186="","",IF($D186="PS",'Data'!$O$5,'Data'!$O$4))</x:f>
      </x:c>
      <x:c r="F186" s="53" t="str">
        <x:f>IF($B186="","",IFERROR(VLOOKUP($B186,'Data'!$A$2:$B$113,2,FALSE),""))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</x:row>
    <x:row r="187" ht="22" customHeight="1">
      <x:c r="A187" s="32"/>
      <x:c r="B187" s="33"/>
      <x:c r="C187" s="59"/>
      <x:c r="D187" s="52" t="str">
        <x:f>IF($B187="","",IF(OR(RIGHT(TRIM($B187),2)="P183",RIGHT(TRIM($B187),2)="P184",RIGHT(TRIM($B187),2)="P185",RIGHT(TRIM($B187),2)="P186"),"PS","GS"))</x:f>
      </x:c>
      <x:c r="E187" s="62" t="str">
        <x:f>IF($D187="","",IF($D187="PS",'Data'!$O$5,'Data'!$O$4))</x:f>
      </x:c>
      <x:c r="F187" s="53" t="str">
        <x:f>IF($B187="","",IFERROR(VLOOKUP($B187,'Data'!$A$2:$B$113,2,FALSE),""))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</x:row>
    <x:row r="188" ht="22" customHeight="1">
      <x:c r="A188" s="32"/>
      <x:c r="B188" s="33"/>
      <x:c r="C188" s="59"/>
      <x:c r="D188" s="52" t="str">
        <x:f>IF($B188="","",IF(OR(RIGHT(TRIM($B188),2)="P184",RIGHT(TRIM($B188),2)="P185",RIGHT(TRIM($B188),2)="P186",RIGHT(TRIM($B188),2)="P187"),"PS","GS"))</x:f>
      </x:c>
      <x:c r="E188" s="62" t="str">
        <x:f>IF($D188="","",IF($D188="PS",'Data'!$O$5,'Data'!$O$4))</x:f>
      </x:c>
      <x:c r="F188" s="53" t="str">
        <x:f>IF($B188="","",IFERROR(VLOOKUP($B188,'Data'!$A$2:$B$113,2,FALSE),""))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</x:row>
    <x:row r="189" ht="22" customHeight="1">
      <x:c r="A189" s="32"/>
      <x:c r="B189" s="33"/>
      <x:c r="C189" s="59"/>
      <x:c r="D189" s="52" t="str">
        <x:f>IF($B189="","",IF(OR(RIGHT(TRIM($B189),2)="P185",RIGHT(TRIM($B189),2)="P186",RIGHT(TRIM($B189),2)="P187",RIGHT(TRIM($B189),2)="P188"),"PS","GS"))</x:f>
      </x:c>
      <x:c r="E189" s="62" t="str">
        <x:f>IF($D189="","",IF($D189="PS",'Data'!$O$5,'Data'!$O$4))</x:f>
      </x:c>
      <x:c r="F189" s="53" t="str">
        <x:f>IF($B189="","",IFERROR(VLOOKUP($B189,'Data'!$A$2:$B$113,2,FALSE),""))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</x:row>
    <x:row r="190" ht="22" customHeight="1">
      <x:c r="A190" s="32"/>
      <x:c r="B190" s="33"/>
      <x:c r="C190" s="59"/>
      <x:c r="D190" s="52" t="str">
        <x:f>IF($B190="","",IF(OR(RIGHT(TRIM($B190),2)="P186",RIGHT(TRIM($B190),2)="P187",RIGHT(TRIM($B190),2)="P188",RIGHT(TRIM($B190),2)="P189"),"PS","GS"))</x:f>
      </x:c>
      <x:c r="E190" s="62" t="str">
        <x:f>IF($D190="","",IF($D190="PS",'Data'!$O$5,'Data'!$O$4))</x:f>
      </x:c>
      <x:c r="F190" s="53" t="str">
        <x:f>IF($B190="","",IFERROR(VLOOKUP($B190,'Data'!$A$2:$B$113,2,FALSE),""))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</x:row>
    <x:row r="191" ht="22" customHeight="1">
      <x:c r="A191" s="32"/>
      <x:c r="B191" s="33"/>
      <x:c r="C191" s="59"/>
      <x:c r="D191" s="52" t="str">
        <x:f>IF($B191="","",IF(OR(RIGHT(TRIM($B191),2)="P187",RIGHT(TRIM($B191),2)="P188",RIGHT(TRIM($B191),2)="P189",RIGHT(TRIM($B191),2)="P190"),"PS","GS"))</x:f>
      </x:c>
      <x:c r="E191" s="62" t="str">
        <x:f>IF($D191="","",IF($D191="PS",'Data'!$O$5,'Data'!$O$4))</x:f>
      </x:c>
      <x:c r="F191" s="53" t="str">
        <x:f>IF($B191="","",IFERROR(VLOOKUP($B191,'Data'!$A$2:$B$113,2,FALSE),""))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</x:row>
    <x:row r="192" ht="22" customHeight="1">
      <x:c r="A192" s="32"/>
      <x:c r="B192" s="33"/>
      <x:c r="C192" s="59"/>
      <x:c r="D192" s="52" t="str">
        <x:f>IF($B192="","",IF(OR(RIGHT(TRIM($B192),2)="P188",RIGHT(TRIM($B192),2)="P189",RIGHT(TRIM($B192),2)="P190",RIGHT(TRIM($B192),2)="P191"),"PS","GS"))</x:f>
      </x:c>
      <x:c r="E192" s="62" t="str">
        <x:f>IF($D192="","",IF($D192="PS",'Data'!$O$5,'Data'!$O$4))</x:f>
      </x:c>
      <x:c r="F192" s="53" t="str">
        <x:f>IF($B192="","",IFERROR(VLOOKUP($B192,'Data'!$A$2:$B$113,2,FALSE),""))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</x:row>
    <x:row r="193" ht="22" customHeight="1">
      <x:c r="A193" s="32"/>
      <x:c r="B193" s="33"/>
      <x:c r="C193" s="59"/>
      <x:c r="D193" s="52" t="str">
        <x:f>IF($B193="","",IF(OR(RIGHT(TRIM($B193),2)="P189",RIGHT(TRIM($B193),2)="P190",RIGHT(TRIM($B193),2)="P191",RIGHT(TRIM($B193),2)="P192"),"PS","GS"))</x:f>
      </x:c>
      <x:c r="E193" s="62" t="str">
        <x:f>IF($D193="","",IF($D193="PS",'Data'!$O$5,'Data'!$O$4))</x:f>
      </x:c>
      <x:c r="F193" s="53" t="str">
        <x:f>IF($B193="","",IFERROR(VLOOKUP($B193,'Data'!$A$2:$B$113,2,FALSE),""))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</x:row>
    <x:row r="194" ht="22" customHeight="1">
      <x:c r="A194" s="32"/>
      <x:c r="B194" s="33"/>
      <x:c r="C194" s="59"/>
      <x:c r="D194" s="52" t="str">
        <x:f>IF($B194="","",IF(OR(RIGHT(TRIM($B194),2)="P190",RIGHT(TRIM($B194),2)="P191",RIGHT(TRIM($B194),2)="P192",RIGHT(TRIM($B194),2)="P193"),"PS","GS"))</x:f>
      </x:c>
      <x:c r="E194" s="62" t="str">
        <x:f>IF($D194="","",IF($D194="PS",'Data'!$O$5,'Data'!$O$4))</x:f>
      </x:c>
      <x:c r="F194" s="53" t="str">
        <x:f>IF($B194="","",IFERROR(VLOOKUP($B194,'Data'!$A$2:$B$113,2,FALSE),""))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</x:row>
    <x:row r="195" ht="22" customHeight="1">
      <x:c r="A195" s="32"/>
      <x:c r="B195" s="33"/>
      <x:c r="C195" s="59"/>
      <x:c r="D195" s="52" t="str">
        <x:f>IF($B195="","",IF(OR(RIGHT(TRIM($B195),2)="P191",RIGHT(TRIM($B195),2)="P192",RIGHT(TRIM($B195),2)="P193",RIGHT(TRIM($B195),2)="P194"),"PS","GS"))</x:f>
      </x:c>
      <x:c r="E195" s="62" t="str">
        <x:f>IF($D195="","",IF($D195="PS",'Data'!$O$5,'Data'!$O$4))</x:f>
      </x:c>
      <x:c r="F195" s="53" t="str">
        <x:f>IF($B195="","",IFERROR(VLOOKUP($B195,'Data'!$A$2:$B$113,2,FALSE),""))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</x:row>
    <x:row r="196" ht="22" customHeight="1">
      <x:c r="A196" s="32"/>
      <x:c r="B196" s="33"/>
      <x:c r="C196" s="59"/>
      <x:c r="D196" s="52" t="str">
        <x:f>IF($B196="","",IF(OR(RIGHT(TRIM($B196),2)="P192",RIGHT(TRIM($B196),2)="P193",RIGHT(TRIM($B196),2)="P194",RIGHT(TRIM($B196),2)="P195"),"PS","GS"))</x:f>
      </x:c>
      <x:c r="E196" s="62" t="str">
        <x:f>IF($D196="","",IF($D196="PS",'Data'!$O$5,'Data'!$O$4))</x:f>
      </x:c>
      <x:c r="F196" s="53" t="str">
        <x:f>IF($B196="","",IFERROR(VLOOKUP($B196,'Data'!$A$2:$B$113,2,FALSE),""))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</x:row>
    <x:row r="197" ht="22" customHeight="1">
      <x:c r="A197" s="32"/>
      <x:c r="B197" s="33"/>
      <x:c r="C197" s="59"/>
      <x:c r="D197" s="52" t="str">
        <x:f>IF($B197="","",IF(OR(RIGHT(TRIM($B197),2)="P193",RIGHT(TRIM($B197),2)="P194",RIGHT(TRIM($B197),2)="P195",RIGHT(TRIM($B197),2)="P196"),"PS","GS"))</x:f>
      </x:c>
      <x:c r="E197" s="62" t="str">
        <x:f>IF($D197="","",IF($D197="PS",'Data'!$O$5,'Data'!$O$4))</x:f>
      </x:c>
      <x:c r="F197" s="53" t="str">
        <x:f>IF($B197="","",IFERROR(VLOOKUP($B197,'Data'!$A$2:$B$113,2,FALSE),""))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</x:row>
    <x:row r="198" ht="22" customHeight="1">
      <x:c r="A198" s="32"/>
      <x:c r="B198" s="33"/>
      <x:c r="C198" s="59"/>
      <x:c r="D198" s="52" t="str">
        <x:f>IF($B198="","",IF(OR(RIGHT(TRIM($B198),2)="P194",RIGHT(TRIM($B198),2)="P195",RIGHT(TRIM($B198),2)="P196",RIGHT(TRIM($B198),2)="P197"),"PS","GS"))</x:f>
      </x:c>
      <x:c r="E198" s="62" t="str">
        <x:f>IF($D198="","",IF($D198="PS",'Data'!$O$5,'Data'!$O$4))</x:f>
      </x:c>
      <x:c r="F198" s="53" t="str">
        <x:f>IF($B198="","",IFERROR(VLOOKUP($B198,'Data'!$A$2:$B$113,2,FALSE),""))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</x:row>
    <x:row r="199" ht="22" customHeight="1">
      <x:c r="A199" s="32"/>
      <x:c r="B199" s="33"/>
      <x:c r="C199" s="59"/>
      <x:c r="D199" s="52" t="str">
        <x:f>IF($B199="","",IF(OR(RIGHT(TRIM($B199),2)="P195",RIGHT(TRIM($B199),2)="P196",RIGHT(TRIM($B199),2)="P197",RIGHT(TRIM($B199),2)="P198"),"PS","GS"))</x:f>
      </x:c>
      <x:c r="E199" s="62" t="str">
        <x:f>IF($D199="","",IF($D199="PS",'Data'!$O$5,'Data'!$O$4))</x:f>
      </x:c>
      <x:c r="F199" s="53" t="str">
        <x:f>IF($B199="","",IFERROR(VLOOKUP($B199,'Data'!$A$2:$B$113,2,FALSE),""))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</x:row>
    <x:row r="200" ht="22" customHeight="1">
      <x:c r="A200" s="32"/>
      <x:c r="B200" s="33"/>
      <x:c r="C200" s="59"/>
      <x:c r="D200" s="52" t="str">
        <x:f>IF($B200="","",IF(OR(RIGHT(TRIM($B200),2)="P196",RIGHT(TRIM($B200),2)="P197",RIGHT(TRIM($B200),2)="P198",RIGHT(TRIM($B200),2)="P199"),"PS","GS"))</x:f>
      </x:c>
      <x:c r="E200" s="62" t="str">
        <x:f>IF($D200="","",IF($D200="PS",'Data'!$O$5,'Data'!$O$4))</x:f>
      </x:c>
      <x:c r="F200" s="53" t="str">
        <x:f>IF($B200="","",IFERROR(VLOOKUP($B200,'Data'!$A$2:$B$113,2,FALSE),""))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</x:row>
    <x:row r="201" ht="22" customHeight="1">
      <x:c r="A201" s="32"/>
      <x:c r="B201" s="33"/>
      <x:c r="C201" s="59"/>
      <x:c r="D201" s="52" t="str">
        <x:f>IF($B201="","",IF(OR(RIGHT(TRIM($B201),2)="P197",RIGHT(TRIM($B201),2)="P198",RIGHT(TRIM($B201),2)="P199",RIGHT(TRIM($B201),2)="P200"),"PS","GS"))</x:f>
      </x:c>
      <x:c r="E201" s="62" t="str">
        <x:f>IF($D201="","",IF($D201="PS",'Data'!$O$5,'Data'!$O$4))</x:f>
      </x:c>
      <x:c r="F201" s="53" t="str">
        <x:f>IF($B201="","",IFERROR(VLOOKUP($B201,'Data'!$A$2:$B$113,2,FALSE),""))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</x:row>
    <x:row r="202" ht="22" customHeight="1">
      <x:c r="A202" s="32"/>
      <x:c r="B202" s="33"/>
      <x:c r="C202" s="59"/>
      <x:c r="D202" s="52" t="str">
        <x:f>IF($B202="","",IF(OR(RIGHT(TRIM($B202),2)="P198",RIGHT(TRIM($B202),2)="P199",RIGHT(TRIM($B202),2)="P200",RIGHT(TRIM($B202),2)="P201"),"PS","GS"))</x:f>
      </x:c>
      <x:c r="E202" s="62" t="str">
        <x:f>IF($D202="","",IF($D202="PS",'Data'!$O$5,'Data'!$O$4))</x:f>
      </x:c>
      <x:c r="F202" s="53" t="str">
        <x:f>IF($B202="","",IFERROR(VLOOKUP($B202,'Data'!$A$2:$B$113,2,FALSE),""))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</x:row>
    <x:row r="203" ht="22" customHeight="1">
      <x:c r="A203" s="32"/>
      <x:c r="B203" s="33"/>
      <x:c r="C203" s="59"/>
      <x:c r="D203" s="52" t="str">
        <x:f>IF($B203="","",IF(OR(RIGHT(TRIM($B203),2)="P199",RIGHT(TRIM($B203),2)="P200",RIGHT(TRIM($B203),2)="P201",RIGHT(TRIM($B203),2)="P202"),"PS","GS"))</x:f>
      </x:c>
      <x:c r="E203" s="62" t="str">
        <x:f>IF($D203="","",IF($D203="PS",'Data'!$O$5,'Data'!$O$4))</x:f>
      </x:c>
      <x:c r="F203" s="53" t="str">
        <x:f>IF($B203="","",IFERROR(VLOOKUP($B203,'Data'!$A$2:$B$113,2,FALSE),""))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</x:row>
    <x:row r="204" ht="22" customHeight="1">
      <x:c r="A204" s="32"/>
      <x:c r="B204" s="33"/>
      <x:c r="C204" s="59"/>
      <x:c r="D204" s="52" t="str">
        <x:f>IF($B204="","",IF(OR(RIGHT(TRIM($B204),2)="P200",RIGHT(TRIM($B204),2)="P201",RIGHT(TRIM($B204),2)="P202",RIGHT(TRIM($B204),2)="P203"),"PS","GS"))</x:f>
      </x:c>
      <x:c r="E204" s="62" t="str">
        <x:f>IF($D204="","",IF($D204="PS",'Data'!$O$5,'Data'!$O$4))</x:f>
      </x:c>
      <x:c r="F204" s="53" t="str">
        <x:f>IF($B204="","",IFERROR(VLOOKUP($B204,'Data'!$A$2:$B$113,2,FALSE),""))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</x:row>
    <x:row r="205" ht="22" customHeight="1">
      <x:c r="A205" s="32"/>
      <x:c r="B205" s="33"/>
      <x:c r="C205" s="59"/>
      <x:c r="D205" s="52" t="str">
        <x:f>IF($B205="","",IF(OR(RIGHT(TRIM($B205),2)="P201",RIGHT(TRIM($B205),2)="P202",RIGHT(TRIM($B205),2)="P203",RIGHT(TRIM($B205),2)="P204"),"PS","GS"))</x:f>
      </x:c>
      <x:c r="E205" s="62" t="str">
        <x:f>IF($D205="","",IF($D205="PS",'Data'!$O$5,'Data'!$O$4))</x:f>
      </x:c>
      <x:c r="F205" s="53" t="str">
        <x:f>IF($B205="","",IFERROR(VLOOKUP($B205,'Data'!$A$2:$B$113,2,FALSE),""))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</x:row>
    <x:row r="206" ht="22" customHeight="1">
      <x:c r="A206" s="32"/>
      <x:c r="B206" s="33"/>
      <x:c r="C206" s="59"/>
      <x:c r="D206" s="52" t="str">
        <x:f>IF($B206="","",IF(OR(RIGHT(TRIM($B206),2)="P202",RIGHT(TRIM($B206),2)="P203",RIGHT(TRIM($B206),2)="P204",RIGHT(TRIM($B206),2)="P205"),"PS","GS"))</x:f>
      </x:c>
      <x:c r="E206" s="62" t="str">
        <x:f>IF($D206="","",IF($D206="PS",'Data'!$O$5,'Data'!$O$4))</x:f>
      </x:c>
      <x:c r="F206" s="53" t="str">
        <x:f>IF($B206="","",IFERROR(VLOOKUP($B206,'Data'!$A$2:$B$113,2,FALSE),""))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</x:row>
    <x:row r="207" ht="22" customHeight="1">
      <x:c r="A207" s="32"/>
      <x:c r="B207" s="33"/>
      <x:c r="C207" s="59"/>
      <x:c r="D207" s="52" t="str">
        <x:f>IF($B207="","",IF(OR(RIGHT(TRIM($B207),2)="P203",RIGHT(TRIM($B207),2)="P204",RIGHT(TRIM($B207),2)="P205",RIGHT(TRIM($B207),2)="P206"),"PS","GS"))</x:f>
      </x:c>
      <x:c r="E207" s="62" t="str">
        <x:f>IF($D207="","",IF($D207="PS",'Data'!$O$5,'Data'!$O$4))</x:f>
      </x:c>
      <x:c r="F207" s="53" t="str">
        <x:f>IF($B207="","",IFERROR(VLOOKUP($B207,'Data'!$A$2:$B$113,2,FALSE),""))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</x:row>
    <x:row r="208" ht="22" customHeight="1">
      <x:c r="A208" s="32"/>
      <x:c r="B208" s="33"/>
      <x:c r="C208" s="59"/>
      <x:c r="D208" s="52" t="str">
        <x:f>IF($B208="","",IF(OR(RIGHT(TRIM($B208),2)="P204",RIGHT(TRIM($B208),2)="P205",RIGHT(TRIM($B208),2)="P206",RIGHT(TRIM($B208),2)="P207"),"PS","GS"))</x:f>
      </x:c>
      <x:c r="E208" s="62" t="str">
        <x:f>IF($D208="","",IF($D208="PS",'Data'!$O$5,'Data'!$O$4))</x:f>
      </x:c>
      <x:c r="F208" s="53" t="str">
        <x:f>IF($B208="","",IFERROR(VLOOKUP($B208,'Data'!$A$2:$B$113,2,FALSE),""))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</x:row>
    <x:row r="209" ht="22" customHeight="1">
      <x:c r="A209" s="32"/>
      <x:c r="B209" s="33"/>
      <x:c r="C209" s="59"/>
      <x:c r="D209" s="52" t="str">
        <x:f>IF($B209="","",IF(OR(RIGHT(TRIM($B209),2)="P205",RIGHT(TRIM($B209),2)="P206",RIGHT(TRIM($B209),2)="P207",RIGHT(TRIM($B209),2)="P208"),"PS","GS"))</x:f>
      </x:c>
      <x:c r="E209" s="62" t="str">
        <x:f>IF($D209="","",IF($D209="PS",'Data'!$O$5,'Data'!$O$4))</x:f>
      </x:c>
      <x:c r="F209" s="53" t="str">
        <x:f>IF($B209="","",IFERROR(VLOOKUP($B209,'Data'!$A$2:$B$113,2,FALSE),""))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</x:row>
    <x:row r="210" ht="22" customHeight="1">
      <x:c r="A210" s="32"/>
      <x:c r="B210" s="33"/>
      <x:c r="C210" s="59"/>
      <x:c r="D210" s="52" t="str">
        <x:f>IF($B210="","",IF(OR(RIGHT(TRIM($B210),2)="P206",RIGHT(TRIM($B210),2)="P207",RIGHT(TRIM($B210),2)="P208",RIGHT(TRIM($B210),2)="P209"),"PS","GS"))</x:f>
      </x:c>
      <x:c r="E210" s="62" t="str">
        <x:f>IF($D210="","",IF($D210="PS",'Data'!$O$5,'Data'!$O$4))</x:f>
      </x:c>
      <x:c r="F210" s="53" t="str">
        <x:f>IF($B210="","",IFERROR(VLOOKUP($B210,'Data'!$A$2:$B$113,2,FALSE),""))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</x:row>
    <x:row r="211" ht="22" customHeight="1">
      <x:c r="A211" s="32"/>
      <x:c r="B211" s="33"/>
      <x:c r="C211" s="59"/>
      <x:c r="D211" s="52" t="str">
        <x:f>IF($B211="","",IF(OR(RIGHT(TRIM($B211),2)="P207",RIGHT(TRIM($B211),2)="P208",RIGHT(TRIM($B211),2)="P209",RIGHT(TRIM($B211),2)="P210"),"PS","GS"))</x:f>
      </x:c>
      <x:c r="E211" s="62" t="str">
        <x:f>IF($D211="","",IF($D211="PS",'Data'!$O$5,'Data'!$O$4))</x:f>
      </x:c>
      <x:c r="F211" s="53" t="str">
        <x:f>IF($B211="","",IFERROR(VLOOKUP($B211,'Data'!$A$2:$B$113,2,FALSE),""))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</x:row>
    <x:row r="212" ht="22" customHeight="1">
      <x:c r="A212" s="32"/>
      <x:c r="B212" s="33"/>
      <x:c r="C212" s="59"/>
      <x:c r="D212" s="52" t="str">
        <x:f>IF($B212="","",IF(OR(RIGHT(TRIM($B212),2)="P208",RIGHT(TRIM($B212),2)="P209",RIGHT(TRIM($B212),2)="P210",RIGHT(TRIM($B212),2)="P211"),"PS","GS"))</x:f>
      </x:c>
      <x:c r="E212" s="62" t="str">
        <x:f>IF($D212="","",IF($D212="PS",'Data'!$O$5,'Data'!$O$4))</x:f>
      </x:c>
      <x:c r="F212" s="53" t="str">
        <x:f>IF($B212="","",IFERROR(VLOOKUP($B212,'Data'!$A$2:$B$113,2,FALSE),""))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</x:row>
    <x:row r="213" ht="22" customHeight="1">
      <x:c r="A213" s="32"/>
      <x:c r="B213" s="33"/>
      <x:c r="C213" s="59"/>
      <x:c r="D213" s="52" t="str">
        <x:f>IF($B213="","",IF(OR(RIGHT(TRIM($B213),2)="P209",RIGHT(TRIM($B213),2)="P210",RIGHT(TRIM($B213),2)="P211",RIGHT(TRIM($B213),2)="P212"),"PS","GS"))</x:f>
      </x:c>
      <x:c r="E213" s="62" t="str">
        <x:f>IF($D213="","",IF($D213="PS",'Data'!$O$5,'Data'!$O$4))</x:f>
      </x:c>
      <x:c r="F213" s="53" t="str">
        <x:f>IF($B213="","",IFERROR(VLOOKUP($B213,'Data'!$A$2:$B$113,2,FALSE),""))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</x:row>
    <x:row r="214" ht="22" customHeight="1">
      <x:c r="A214" s="32"/>
      <x:c r="B214" s="33"/>
      <x:c r="C214" s="59"/>
      <x:c r="D214" s="52" t="str">
        <x:f>IF($B214="","",IF(OR(RIGHT(TRIM($B214),2)="P210",RIGHT(TRIM($B214),2)="P211",RIGHT(TRIM($B214),2)="P212",RIGHT(TRIM($B214),2)="P213"),"PS","GS"))</x:f>
      </x:c>
      <x:c r="E214" s="62" t="str">
        <x:f>IF($D214="","",IF($D214="PS",'Data'!$O$5,'Data'!$O$4))</x:f>
      </x:c>
      <x:c r="F214" s="53" t="str">
        <x:f>IF($B214="","",IFERROR(VLOOKUP($B214,'Data'!$A$2:$B$113,2,FALSE),""))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</x:row>
    <x:row r="215" ht="22" customHeight="1">
      <x:c r="A215" s="32"/>
      <x:c r="B215" s="33"/>
      <x:c r="C215" s="59"/>
      <x:c r="D215" s="52" t="str">
        <x:f>IF($B215="","",IF(OR(RIGHT(TRIM($B215),2)="P211",RIGHT(TRIM($B215),2)="P212",RIGHT(TRIM($B215),2)="P213",RIGHT(TRIM($B215),2)="P214"),"PS","GS"))</x:f>
      </x:c>
      <x:c r="E215" s="62" t="str">
        <x:f>IF($D215="","",IF($D215="PS",'Data'!$O$5,'Data'!$O$4))</x:f>
      </x:c>
      <x:c r="F215" s="53" t="str">
        <x:f>IF($B215="","",IFERROR(VLOOKUP($B215,'Data'!$A$2:$B$113,2,FALSE),""))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</x:row>
    <x:row r="216" ht="22" customHeight="1">
      <x:c r="A216" s="32"/>
      <x:c r="B216" s="33"/>
      <x:c r="C216" s="59"/>
      <x:c r="D216" s="52" t="str">
        <x:f>IF($B216="","",IF(OR(RIGHT(TRIM($B216),2)="P212",RIGHT(TRIM($B216),2)="P213",RIGHT(TRIM($B216),2)="P214",RIGHT(TRIM($B216),2)="P215"),"PS","GS"))</x:f>
      </x:c>
      <x:c r="E216" s="62" t="str">
        <x:f>IF($D216="","",IF($D216="PS",'Data'!$O$5,'Data'!$O$4))</x:f>
      </x:c>
      <x:c r="F216" s="53" t="str">
        <x:f>IF($B216="","",IFERROR(VLOOKUP($B216,'Data'!$A$2:$B$113,2,FALSE),""))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</x:row>
    <x:row r="217" ht="22" customHeight="1">
      <x:c r="A217" s="32"/>
      <x:c r="B217" s="33"/>
      <x:c r="C217" s="59"/>
      <x:c r="D217" s="52" t="str">
        <x:f>IF($B217="","",IF(OR(RIGHT(TRIM($B217),2)="P213",RIGHT(TRIM($B217),2)="P214",RIGHT(TRIM($B217),2)="P215",RIGHT(TRIM($B217),2)="P216"),"PS","GS"))</x:f>
      </x:c>
      <x:c r="E217" s="62" t="str">
        <x:f>IF($D217="","",IF($D217="PS",'Data'!$O$5,'Data'!$O$4))</x:f>
      </x:c>
      <x:c r="F217" s="53" t="str">
        <x:f>IF($B217="","",IFERROR(VLOOKUP($B217,'Data'!$A$2:$B$113,2,FALSE),""))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</x:row>
    <x:row r="218" ht="22" customHeight="1">
      <x:c r="A218" s="32"/>
      <x:c r="B218" s="33"/>
      <x:c r="C218" s="59"/>
      <x:c r="D218" s="52" t="str">
        <x:f>IF($B218="","",IF(OR(RIGHT(TRIM($B218),2)="P214",RIGHT(TRIM($B218),2)="P215",RIGHT(TRIM($B218),2)="P216",RIGHT(TRIM($B218),2)="P217"),"PS","GS"))</x:f>
      </x:c>
      <x:c r="E218" s="62" t="str">
        <x:f>IF($D218="","",IF($D218="PS",'Data'!$O$5,'Data'!$O$4))</x:f>
      </x:c>
      <x:c r="F218" s="53" t="str">
        <x:f>IF($B218="","",IFERROR(VLOOKUP($B218,'Data'!$A$2:$B$113,2,FALSE),""))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</x:row>
    <x:row r="219" ht="22" customHeight="1">
      <x:c r="A219" s="32"/>
      <x:c r="B219" s="33"/>
      <x:c r="C219" s="59"/>
      <x:c r="D219" s="52" t="str">
        <x:f>IF($B219="","",IF(OR(RIGHT(TRIM($B219),2)="P215",RIGHT(TRIM($B219),2)="P216",RIGHT(TRIM($B219),2)="P217",RIGHT(TRIM($B219),2)="P218"),"PS","GS"))</x:f>
      </x:c>
      <x:c r="E219" s="62" t="str">
        <x:f>IF($D219="","",IF($D219="PS",'Data'!$O$5,'Data'!$O$4))</x:f>
      </x:c>
      <x:c r="F219" s="53" t="str">
        <x:f>IF($B219="","",IFERROR(VLOOKUP($B219,'Data'!$A$2:$B$113,2,FALSE),""))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</x:row>
    <x:row r="220" ht="22" customHeight="1">
      <x:c r="A220" s="32"/>
      <x:c r="B220" s="33"/>
      <x:c r="C220" s="59"/>
      <x:c r="D220" s="52" t="str">
        <x:f>IF($B220="","",IF(OR(RIGHT(TRIM($B220),2)="P216",RIGHT(TRIM($B220),2)="P217",RIGHT(TRIM($B220),2)="P218",RIGHT(TRIM($B220),2)="P219"),"PS","GS"))</x:f>
      </x:c>
      <x:c r="E220" s="62" t="str">
        <x:f>IF($D220="","",IF($D220="PS",'Data'!$O$5,'Data'!$O$4))</x:f>
      </x:c>
      <x:c r="F220" s="53" t="str">
        <x:f>IF($B220="","",IFERROR(VLOOKUP($B220,'Data'!$A$2:$B$113,2,FALSE),""))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</x:row>
    <x:row r="221" ht="22" customHeight="1">
      <x:c r="A221" s="32"/>
      <x:c r="B221" s="33"/>
      <x:c r="C221" s="59"/>
      <x:c r="D221" s="52" t="str">
        <x:f>IF($B221="","",IF(OR(RIGHT(TRIM($B221),2)="P217",RIGHT(TRIM($B221),2)="P218",RIGHT(TRIM($B221),2)="P219",RIGHT(TRIM($B221),2)="P220"),"PS","GS"))</x:f>
      </x:c>
      <x:c r="E221" s="62" t="str">
        <x:f>IF($D221="","",IF($D221="PS",'Data'!$O$5,'Data'!$O$4))</x:f>
      </x:c>
      <x:c r="F221" s="53" t="str">
        <x:f>IF($B221="","",IFERROR(VLOOKUP($B221,'Data'!$A$2:$B$113,2,FALSE),""))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</x:row>
    <x:row r="222" ht="22" customHeight="1">
      <x:c r="A222" s="32"/>
      <x:c r="B222" s="33"/>
      <x:c r="C222" s="59"/>
      <x:c r="D222" s="52" t="str">
        <x:f>IF($B222="","",IF(OR(RIGHT(TRIM($B222),2)="P218",RIGHT(TRIM($B222),2)="P219",RIGHT(TRIM($B222),2)="P220",RIGHT(TRIM($B222),2)="P221"),"PS","GS"))</x:f>
      </x:c>
      <x:c r="E222" s="62" t="str">
        <x:f>IF($D222="","",IF($D222="PS",'Data'!$O$5,'Data'!$O$4))</x:f>
      </x:c>
      <x:c r="F222" s="53" t="str">
        <x:f>IF($B222="","",IFERROR(VLOOKUP($B222,'Data'!$A$2:$B$113,2,FALSE),""))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</x:row>
    <x:row r="223" ht="22" customHeight="1">
      <x:c r="A223" s="32"/>
      <x:c r="B223" s="33"/>
      <x:c r="C223" s="59"/>
      <x:c r="D223" s="52" t="str">
        <x:f>IF($B223="","",IF(OR(RIGHT(TRIM($B223),2)="P219",RIGHT(TRIM($B223),2)="P220",RIGHT(TRIM($B223),2)="P221",RIGHT(TRIM($B223),2)="P222"),"PS","GS"))</x:f>
      </x:c>
      <x:c r="E223" s="62" t="str">
        <x:f>IF($D223="","",IF($D223="PS",'Data'!$O$5,'Data'!$O$4))</x:f>
      </x:c>
      <x:c r="F223" s="53" t="str">
        <x:f>IF($B223="","",IFERROR(VLOOKUP($B223,'Data'!$A$2:$B$113,2,FALSE),""))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</x:row>
    <x:row r="224" ht="22" customHeight="1">
      <x:c r="A224" s="32"/>
      <x:c r="B224" s="33"/>
      <x:c r="C224" s="59"/>
      <x:c r="D224" s="52" t="str">
        <x:f>IF($B224="","",IF(OR(RIGHT(TRIM($B224),2)="P220",RIGHT(TRIM($B224),2)="P221",RIGHT(TRIM($B224),2)="P222",RIGHT(TRIM($B224),2)="P223"),"PS","GS"))</x:f>
      </x:c>
      <x:c r="E224" s="62" t="str">
        <x:f>IF($D224="","",IF($D224="PS",'Data'!$O$5,'Data'!$O$4))</x:f>
      </x:c>
      <x:c r="F224" s="53" t="str">
        <x:f>IF($B224="","",IFERROR(VLOOKUP($B224,'Data'!$A$2:$B$113,2,FALSE),""))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</x:row>
    <x:row r="225" ht="22" customHeight="1">
      <x:c r="A225" s="32"/>
      <x:c r="B225" s="33"/>
      <x:c r="C225" s="59"/>
      <x:c r="D225" s="52" t="str">
        <x:f>IF($B225="","",IF(OR(RIGHT(TRIM($B225),2)="P221",RIGHT(TRIM($B225),2)="P222",RIGHT(TRIM($B225),2)="P223",RIGHT(TRIM($B225),2)="P224"),"PS","GS"))</x:f>
      </x:c>
      <x:c r="E225" s="62" t="str">
        <x:f>IF($D225="","",IF($D225="PS",'Data'!$O$5,'Data'!$O$4))</x:f>
      </x:c>
      <x:c r="F225" s="53" t="str">
        <x:f>IF($B225="","",IFERROR(VLOOKUP($B225,'Data'!$A$2:$B$113,2,FALSE),""))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</x:row>
    <x:row r="226" ht="22" customHeight="1">
      <x:c r="A226" s="32"/>
      <x:c r="B226" s="33"/>
      <x:c r="C226" s="59"/>
      <x:c r="D226" s="52" t="str">
        <x:f>IF($B226="","",IF(OR(RIGHT(TRIM($B226),2)="P222",RIGHT(TRIM($B226),2)="P223",RIGHT(TRIM($B226),2)="P224",RIGHT(TRIM($B226),2)="P225"),"PS","GS"))</x:f>
      </x:c>
      <x:c r="E226" s="62" t="str">
        <x:f>IF($D226="","",IF($D226="PS",'Data'!$O$5,'Data'!$O$4))</x:f>
      </x:c>
      <x:c r="F226" s="53" t="str">
        <x:f>IF($B226="","",IFERROR(VLOOKUP($B226,'Data'!$A$2:$B$113,2,FALSE),""))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</x:row>
    <x:row r="227" ht="22" customHeight="1">
      <x:c r="A227" s="32"/>
      <x:c r="B227" s="33"/>
      <x:c r="C227" s="59"/>
      <x:c r="D227" s="52" t="str">
        <x:f>IF($B227="","",IF(OR(RIGHT(TRIM($B227),2)="P223",RIGHT(TRIM($B227),2)="P224",RIGHT(TRIM($B227),2)="P225",RIGHT(TRIM($B227),2)="P226"),"PS","GS"))</x:f>
      </x:c>
      <x:c r="E227" s="62" t="str">
        <x:f>IF($D227="","",IF($D227="PS",'Data'!$O$5,'Data'!$O$4))</x:f>
      </x:c>
      <x:c r="F227" s="53" t="str">
        <x:f>IF($B227="","",IFERROR(VLOOKUP($B227,'Data'!$A$2:$B$113,2,FALSE),""))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</x:row>
    <x:row r="228" ht="22" customHeight="1">
      <x:c r="A228" s="32"/>
      <x:c r="B228" s="33"/>
      <x:c r="C228" s="59"/>
      <x:c r="D228" s="52" t="str">
        <x:f>IF($B228="","",IF(OR(RIGHT(TRIM($B228),2)="P224",RIGHT(TRIM($B228),2)="P225",RIGHT(TRIM($B228),2)="P226",RIGHT(TRIM($B228),2)="P227"),"PS","GS"))</x:f>
      </x:c>
      <x:c r="E228" s="62" t="str">
        <x:f>IF($D228="","",IF($D228="PS",'Data'!$O$5,'Data'!$O$4))</x:f>
      </x:c>
      <x:c r="F228" s="53" t="str">
        <x:f>IF($B228="","",IFERROR(VLOOKUP($B228,'Data'!$A$2:$B$113,2,FALSE),""))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</x:row>
    <x:row r="229" ht="22" customHeight="1">
      <x:c r="A229" s="32"/>
      <x:c r="B229" s="33"/>
      <x:c r="C229" s="59"/>
      <x:c r="D229" s="52" t="str">
        <x:f>IF($B229="","",IF(OR(RIGHT(TRIM($B229),2)="P225",RIGHT(TRIM($B229),2)="P226",RIGHT(TRIM($B229),2)="P227",RIGHT(TRIM($B229),2)="P228"),"PS","GS"))</x:f>
      </x:c>
      <x:c r="E229" s="62" t="str">
        <x:f>IF($D229="","",IF($D229="PS",'Data'!$O$5,'Data'!$O$4))</x:f>
      </x:c>
      <x:c r="F229" s="53" t="str">
        <x:f>IF($B229="","",IFERROR(VLOOKUP($B229,'Data'!$A$2:$B$113,2,FALSE),""))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</x:row>
    <x:row r="230" ht="22" customHeight="1">
      <x:c r="A230" s="32"/>
      <x:c r="B230" s="33"/>
      <x:c r="C230" s="59"/>
      <x:c r="D230" s="52" t="str">
        <x:f>IF($B230="","",IF(OR(RIGHT(TRIM($B230),2)="P226",RIGHT(TRIM($B230),2)="P227",RIGHT(TRIM($B230),2)="P228",RIGHT(TRIM($B230),2)="P229"),"PS","GS"))</x:f>
      </x:c>
      <x:c r="E230" s="62" t="str">
        <x:f>IF($D230="","",IF($D230="PS",'Data'!$O$5,'Data'!$O$4))</x:f>
      </x:c>
      <x:c r="F230" s="53" t="str">
        <x:f>IF($B230="","",IFERROR(VLOOKUP($B230,'Data'!$A$2:$B$113,2,FALSE),""))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</x:row>
    <x:row r="231" ht="22" customHeight="1">
      <x:c r="A231" s="32"/>
      <x:c r="B231" s="33"/>
      <x:c r="C231" s="59"/>
      <x:c r="D231" s="52" t="str">
        <x:f>IF($B231="","",IF(OR(RIGHT(TRIM($B231),2)="P227",RIGHT(TRIM($B231),2)="P228",RIGHT(TRIM($B231),2)="P229",RIGHT(TRIM($B231),2)="P230"),"PS","GS"))</x:f>
      </x:c>
      <x:c r="E231" s="62" t="str">
        <x:f>IF($D231="","",IF($D231="PS",'Data'!$O$5,'Data'!$O$4))</x:f>
      </x:c>
      <x:c r="F231" s="53" t="str">
        <x:f>IF($B231="","",IFERROR(VLOOKUP($B231,'Data'!$A$2:$B$113,2,FALSE),""))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</x:row>
    <x:row r="232" ht="22" customHeight="1">
      <x:c r="A232" s="32"/>
      <x:c r="B232" s="33"/>
      <x:c r="C232" s="59"/>
      <x:c r="D232" s="52" t="str">
        <x:f>IF($B232="","",IF(OR(RIGHT(TRIM($B232),2)="P228",RIGHT(TRIM($B232),2)="P229",RIGHT(TRIM($B232),2)="P230",RIGHT(TRIM($B232),2)="P231"),"PS","GS"))</x:f>
      </x:c>
      <x:c r="E232" s="62" t="str">
        <x:f>IF($D232="","",IF($D232="PS",'Data'!$O$5,'Data'!$O$4))</x:f>
      </x:c>
      <x:c r="F232" s="53" t="str">
        <x:f>IF($B232="","",IFERROR(VLOOKUP($B232,'Data'!$A$2:$B$113,2,FALSE),""))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</x:row>
    <x:row r="233" ht="22" customHeight="1">
      <x:c r="A233" s="32"/>
      <x:c r="B233" s="33"/>
      <x:c r="C233" s="59"/>
      <x:c r="D233" s="52" t="str">
        <x:f>IF($B233="","",IF(OR(RIGHT(TRIM($B233),2)="P229",RIGHT(TRIM($B233),2)="P230",RIGHT(TRIM($B233),2)="P231",RIGHT(TRIM($B233),2)="P232"),"PS","GS"))</x:f>
      </x:c>
      <x:c r="E233" s="62" t="str">
        <x:f>IF($D233="","",IF($D233="PS",'Data'!$O$5,'Data'!$O$4))</x:f>
      </x:c>
      <x:c r="F233" s="53" t="str">
        <x:f>IF($B233="","",IFERROR(VLOOKUP($B233,'Data'!$A$2:$B$113,2,FALSE),""))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</x:row>
    <x:row r="234" ht="22" customHeight="1">
      <x:c r="A234" s="32"/>
      <x:c r="B234" s="33"/>
      <x:c r="C234" s="59"/>
      <x:c r="D234" s="52" t="str">
        <x:f>IF($B234="","",IF(OR(RIGHT(TRIM($B234),2)="P230",RIGHT(TRIM($B234),2)="P231",RIGHT(TRIM($B234),2)="P232",RIGHT(TRIM($B234),2)="P233"),"PS","GS"))</x:f>
      </x:c>
      <x:c r="E234" s="62" t="str">
        <x:f>IF($D234="","",IF($D234="PS",'Data'!$O$5,'Data'!$O$4))</x:f>
      </x:c>
      <x:c r="F234" s="53" t="str">
        <x:f>IF($B234="","",IFERROR(VLOOKUP($B234,'Data'!$A$2:$B$113,2,FALSE),""))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</x:row>
    <x:row r="235" ht="22" customHeight="1">
      <x:c r="A235" s="32"/>
      <x:c r="B235" s="33"/>
      <x:c r="C235" s="59"/>
      <x:c r="D235" s="52" t="str">
        <x:f>IF($B235="","",IF(OR(RIGHT(TRIM($B235),2)="P231",RIGHT(TRIM($B235),2)="P232",RIGHT(TRIM($B235),2)="P233",RIGHT(TRIM($B235),2)="P234"),"PS","GS"))</x:f>
      </x:c>
      <x:c r="E235" s="62" t="str">
        <x:f>IF($D235="","",IF($D235="PS",'Data'!$O$5,'Data'!$O$4))</x:f>
      </x:c>
      <x:c r="F235" s="53" t="str">
        <x:f>IF($B235="","",IFERROR(VLOOKUP($B235,'Data'!$A$2:$B$113,2,FALSE),""))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</x:row>
    <x:row r="236" ht="22" customHeight="1">
      <x:c r="A236" s="32"/>
      <x:c r="B236" s="33"/>
      <x:c r="C236" s="59"/>
      <x:c r="D236" s="52" t="str">
        <x:f>IF($B236="","",IF(OR(RIGHT(TRIM($B236),2)="P232",RIGHT(TRIM($B236),2)="P233",RIGHT(TRIM($B236),2)="P234",RIGHT(TRIM($B236),2)="P235"),"PS","GS"))</x:f>
      </x:c>
      <x:c r="E236" s="62" t="str">
        <x:f>IF($D236="","",IF($D236="PS",'Data'!$O$5,'Data'!$O$4))</x:f>
      </x:c>
      <x:c r="F236" s="53" t="str">
        <x:f>IF($B236="","",IFERROR(VLOOKUP($B236,'Data'!$A$2:$B$113,2,FALSE),""))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</x:row>
    <x:row r="237" ht="22" customHeight="1">
      <x:c r="A237" s="32"/>
      <x:c r="B237" s="33"/>
      <x:c r="C237" s="59"/>
      <x:c r="D237" s="52" t="str">
        <x:f>IF($B237="","",IF(OR(RIGHT(TRIM($B237),2)="P233",RIGHT(TRIM($B237),2)="P234",RIGHT(TRIM($B237),2)="P235",RIGHT(TRIM($B237),2)="P236"),"PS","GS"))</x:f>
      </x:c>
      <x:c r="E237" s="62" t="str">
        <x:f>IF($D237="","",IF($D237="PS",'Data'!$O$5,'Data'!$O$4))</x:f>
      </x:c>
      <x:c r="F237" s="53" t="str">
        <x:f>IF($B237="","",IFERROR(VLOOKUP($B237,'Data'!$A$2:$B$113,2,FALSE),""))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</x:row>
    <x:row r="238" ht="22" customHeight="1">
      <x:c r="A238" s="32"/>
      <x:c r="B238" s="33"/>
      <x:c r="C238" s="59"/>
      <x:c r="D238" s="52" t="str">
        <x:f>IF($B238="","",IF(OR(RIGHT(TRIM($B238),2)="P234",RIGHT(TRIM($B238),2)="P235",RIGHT(TRIM($B238),2)="P236",RIGHT(TRIM($B238),2)="P237"),"PS","GS"))</x:f>
      </x:c>
      <x:c r="E238" s="62" t="str">
        <x:f>IF($D238="","",IF($D238="PS",'Data'!$O$5,'Data'!$O$4))</x:f>
      </x:c>
      <x:c r="F238" s="53" t="str">
        <x:f>IF($B238="","",IFERROR(VLOOKUP($B238,'Data'!$A$2:$B$113,2,FALSE),""))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</x:row>
    <x:row r="239" ht="22" customHeight="1">
      <x:c r="A239" s="32"/>
      <x:c r="B239" s="33"/>
      <x:c r="C239" s="59"/>
      <x:c r="D239" s="52" t="str">
        <x:f>IF($B239="","",IF(OR(RIGHT(TRIM($B239),2)="P235",RIGHT(TRIM($B239),2)="P236",RIGHT(TRIM($B239),2)="P237",RIGHT(TRIM($B239),2)="P238"),"PS","GS"))</x:f>
      </x:c>
      <x:c r="E239" s="62" t="str">
        <x:f>IF($D239="","",IF($D239="PS",'Data'!$O$5,'Data'!$O$4))</x:f>
      </x:c>
      <x:c r="F239" s="53" t="str">
        <x:f>IF($B239="","",IFERROR(VLOOKUP($B239,'Data'!$A$2:$B$113,2,FALSE),""))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</x:row>
    <x:row r="240" ht="22" customHeight="1">
      <x:c r="A240" s="32"/>
      <x:c r="B240" s="33"/>
      <x:c r="C240" s="59"/>
      <x:c r="D240" s="52" t="str">
        <x:f>IF($B240="","",IF(OR(RIGHT(TRIM($B240),2)="P236",RIGHT(TRIM($B240),2)="P237",RIGHT(TRIM($B240),2)="P238",RIGHT(TRIM($B240),2)="P239"),"PS","GS"))</x:f>
      </x:c>
      <x:c r="E240" s="62" t="str">
        <x:f>IF($D240="","",IF($D240="PS",'Data'!$O$5,'Data'!$O$4))</x:f>
      </x:c>
      <x:c r="F240" s="53" t="str">
        <x:f>IF($B240="","",IFERROR(VLOOKUP($B240,'Data'!$A$2:$B$113,2,FALSE),""))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</x:row>
    <x:row r="241" ht="22" customHeight="1">
      <x:c r="A241" s="32"/>
      <x:c r="B241" s="33"/>
      <x:c r="C241" s="59"/>
      <x:c r="D241" s="52" t="str">
        <x:f>IF($B241="","",IF(OR(RIGHT(TRIM($B241),2)="P237",RIGHT(TRIM($B241),2)="P238",RIGHT(TRIM($B241),2)="P239",RIGHT(TRIM($B241),2)="P240"),"PS","GS"))</x:f>
      </x:c>
      <x:c r="E241" s="62" t="str">
        <x:f>IF($D241="","",IF($D241="PS",'Data'!$O$5,'Data'!$O$4))</x:f>
      </x:c>
      <x:c r="F241" s="53" t="str">
        <x:f>IF($B241="","",IFERROR(VLOOKUP($B241,'Data'!$A$2:$B$113,2,FALSE),""))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</x:row>
    <x:row r="242" ht="22" customHeight="1">
      <x:c r="A242" s="32"/>
      <x:c r="B242" s="33"/>
      <x:c r="C242" s="59"/>
      <x:c r="D242" s="52" t="str">
        <x:f>IF($B242="","",IF(OR(RIGHT(TRIM($B242),2)="P238",RIGHT(TRIM($B242),2)="P239",RIGHT(TRIM($B242),2)="P240",RIGHT(TRIM($B242),2)="P241"),"PS","GS"))</x:f>
      </x:c>
      <x:c r="E242" s="62" t="str">
        <x:f>IF($D242="","",IF($D242="PS",'Data'!$O$5,'Data'!$O$4))</x:f>
      </x:c>
      <x:c r="F242" s="53" t="str">
        <x:f>IF($B242="","",IFERROR(VLOOKUP($B242,'Data'!$A$2:$B$113,2,FALSE),""))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</x:row>
    <x:row r="243" ht="22" customHeight="1">
      <x:c r="A243" s="32"/>
      <x:c r="B243" s="33"/>
      <x:c r="C243" s="59"/>
      <x:c r="D243" s="52" t="str">
        <x:f>IF($B243="","",IF(OR(RIGHT(TRIM($B243),2)="P239",RIGHT(TRIM($B243),2)="P240",RIGHT(TRIM($B243),2)="P241",RIGHT(TRIM($B243),2)="P242"),"PS","GS"))</x:f>
      </x:c>
      <x:c r="E243" s="62" t="str">
        <x:f>IF($D243="","",IF($D243="PS",'Data'!$O$5,'Data'!$O$4))</x:f>
      </x:c>
      <x:c r="F243" s="53" t="str">
        <x:f>IF($B243="","",IFERROR(VLOOKUP($B243,'Data'!$A$2:$B$113,2,FALSE),""))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</x:row>
    <x:row r="244" ht="22" customHeight="1">
      <x:c r="A244" s="32"/>
      <x:c r="B244" s="33"/>
      <x:c r="C244" s="59"/>
      <x:c r="D244" s="52" t="str">
        <x:f>IF($B244="","",IF(OR(RIGHT(TRIM($B244),2)="P240",RIGHT(TRIM($B244),2)="P241",RIGHT(TRIM($B244),2)="P242",RIGHT(TRIM($B244),2)="P243"),"PS","GS"))</x:f>
      </x:c>
      <x:c r="E244" s="62" t="str">
        <x:f>IF($D244="","",IF($D244="PS",'Data'!$O$5,'Data'!$O$4))</x:f>
      </x:c>
      <x:c r="F244" s="53" t="str">
        <x:f>IF($B244="","",IFERROR(VLOOKUP($B244,'Data'!$A$2:$B$113,2,FALSE),""))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</x:row>
    <x:row r="245" ht="22" customHeight="1">
      <x:c r="A245" s="32"/>
      <x:c r="B245" s="33"/>
      <x:c r="C245" s="59"/>
      <x:c r="D245" s="52" t="str">
        <x:f>IF($B245="","",IF(OR(RIGHT(TRIM($B245),2)="P241",RIGHT(TRIM($B245),2)="P242",RIGHT(TRIM($B245),2)="P243",RIGHT(TRIM($B245),2)="P244"),"PS","GS"))</x:f>
      </x:c>
      <x:c r="E245" s="62" t="str">
        <x:f>IF($D245="","",IF($D245="PS",'Data'!$O$5,'Data'!$O$4))</x:f>
      </x:c>
      <x:c r="F245" s="53" t="str">
        <x:f>IF($B245="","",IFERROR(VLOOKUP($B245,'Data'!$A$2:$B$113,2,FALSE),""))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</x:row>
    <x:row r="246" ht="22" customHeight="1">
      <x:c r="A246" s="32"/>
      <x:c r="B246" s="33"/>
      <x:c r="C246" s="59"/>
      <x:c r="D246" s="52" t="str">
        <x:f>IF($B246="","",IF(OR(RIGHT(TRIM($B246),2)="P242",RIGHT(TRIM($B246),2)="P243",RIGHT(TRIM($B246),2)="P244",RIGHT(TRIM($B246),2)="P245"),"PS","GS"))</x:f>
      </x:c>
      <x:c r="E246" s="62" t="str">
        <x:f>IF($D246="","",IF($D246="PS",'Data'!$O$5,'Data'!$O$4))</x:f>
      </x:c>
      <x:c r="F246" s="53" t="str">
        <x:f>IF($B246="","",IFERROR(VLOOKUP($B246,'Data'!$A$2:$B$113,2,FALSE),""))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</x:row>
    <x:row r="247" ht="22" customHeight="1">
      <x:c r="A247" s="32"/>
      <x:c r="B247" s="33"/>
      <x:c r="C247" s="59"/>
      <x:c r="D247" s="52" t="str">
        <x:f>IF($B247="","",IF(OR(RIGHT(TRIM($B247),2)="P243",RIGHT(TRIM($B247),2)="P244",RIGHT(TRIM($B247),2)="P245",RIGHT(TRIM($B247),2)="P246"),"PS","GS"))</x:f>
      </x:c>
      <x:c r="E247" s="62" t="str">
        <x:f>IF($D247="","",IF($D247="PS",'Data'!$O$5,'Data'!$O$4))</x:f>
      </x:c>
      <x:c r="F247" s="53" t="str">
        <x:f>IF($B247="","",IFERROR(VLOOKUP($B247,'Data'!$A$2:$B$113,2,FALSE),""))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</x:row>
    <x:row r="248" ht="22" customHeight="1">
      <x:c r="A248" s="32"/>
      <x:c r="B248" s="33"/>
      <x:c r="C248" s="59"/>
      <x:c r="D248" s="52" t="str">
        <x:f>IF($B248="","",IF(OR(RIGHT(TRIM($B248),2)="P244",RIGHT(TRIM($B248),2)="P245",RIGHT(TRIM($B248),2)="P246",RIGHT(TRIM($B248),2)="P247"),"PS","GS"))</x:f>
      </x:c>
      <x:c r="E248" s="62" t="str">
        <x:f>IF($D248="","",IF($D248="PS",'Data'!$O$5,'Data'!$O$4))</x:f>
      </x:c>
      <x:c r="F248" s="53" t="str">
        <x:f>IF($B248="","",IFERROR(VLOOKUP($B248,'Data'!$A$2:$B$113,2,FALSE),""))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</x:row>
    <x:row r="249" ht="22" customHeight="1">
      <x:c r="A249" s="32"/>
      <x:c r="B249" s="33"/>
      <x:c r="C249" s="59"/>
      <x:c r="D249" s="52" t="str">
        <x:f>IF($B249="","",IF(OR(RIGHT(TRIM($B249),2)="P245",RIGHT(TRIM($B249),2)="P246",RIGHT(TRIM($B249),2)="P247",RIGHT(TRIM($B249),2)="P248"),"PS","GS"))</x:f>
      </x:c>
      <x:c r="E249" s="62" t="str">
        <x:f>IF($D249="","",IF($D249="PS",'Data'!$O$5,'Data'!$O$4))</x:f>
      </x:c>
      <x:c r="F249" s="53" t="str">
        <x:f>IF($B249="","",IFERROR(VLOOKUP($B249,'Data'!$A$2:$B$113,2,FALSE),""))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</x:row>
    <x:row r="250" ht="22" customHeight="1">
      <x:c r="A250" s="32"/>
      <x:c r="B250" s="33"/>
      <x:c r="C250" s="59"/>
      <x:c r="D250" s="52" t="str">
        <x:f>IF($B250="","",IF(OR(RIGHT(TRIM($B250),2)="P246",RIGHT(TRIM($B250),2)="P247",RIGHT(TRIM($B250),2)="P248",RIGHT(TRIM($B250),2)="P249"),"PS","GS"))</x:f>
      </x:c>
      <x:c r="E250" s="62" t="str">
        <x:f>IF($D250="","",IF($D250="PS",'Data'!$O$5,'Data'!$O$4))</x:f>
      </x:c>
      <x:c r="F250" s="53" t="str">
        <x:f>IF($B250="","",IFERROR(VLOOKUP($B250,'Data'!$A$2:$B$113,2,FALSE),""))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</x:row>
    <x:row r="251" ht="22" customHeight="1">
      <x:c r="A251" s="32"/>
      <x:c r="B251" s="33"/>
      <x:c r="C251" s="59"/>
      <x:c r="D251" s="52" t="str">
        <x:f>IF($B251="","",IF(OR(RIGHT(TRIM($B251),2)="P247",RIGHT(TRIM($B251),2)="P248",RIGHT(TRIM($B251),2)="P249",RIGHT(TRIM($B251),2)="P250"),"PS","GS"))</x:f>
      </x:c>
      <x:c r="E251" s="62" t="str">
        <x:f>IF($D251="","",IF($D251="PS",'Data'!$O$5,'Data'!$O$4))</x:f>
      </x:c>
      <x:c r="F251" s="53" t="str">
        <x:f>IF($B251="","",IFERROR(VLOOKUP($B251,'Data'!$A$2:$B$113,2,FALSE),""))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</x:row>
    <x:row r="252" ht="22" customHeight="1">
      <x:c r="A252" s="32"/>
      <x:c r="B252" s="33"/>
      <x:c r="C252" s="59"/>
      <x:c r="D252" s="52" t="str">
        <x:f>IF($B252="","",IF(OR(RIGHT(TRIM($B252),2)="P248",RIGHT(TRIM($B252),2)="P249",RIGHT(TRIM($B252),2)="P250",RIGHT(TRIM($B252),2)="P251"),"PS","GS"))</x:f>
      </x:c>
      <x:c r="E252" s="62" t="str">
        <x:f>IF($D252="","",IF($D252="PS",'Data'!$O$5,'Data'!$O$4))</x:f>
      </x:c>
      <x:c r="F252" s="53" t="str">
        <x:f>IF($B252="","",IFERROR(VLOOKUP($B252,'Data'!$A$2:$B$113,2,FALSE),""))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</x:row>
    <x:row r="253" ht="22" customHeight="1">
      <x:c r="A253" s="32"/>
      <x:c r="B253" s="33"/>
      <x:c r="C253" s="59"/>
      <x:c r="D253" s="52" t="str">
        <x:f>IF($B253="","",IF(OR(RIGHT(TRIM($B253),2)="P249",RIGHT(TRIM($B253),2)="P250",RIGHT(TRIM($B253),2)="P251",RIGHT(TRIM($B253),2)="P252"),"PS","GS"))</x:f>
      </x:c>
      <x:c r="E253" s="62" t="str">
        <x:f>IF($D253="","",IF($D253="PS",'Data'!$O$5,'Data'!$O$4))</x:f>
      </x:c>
      <x:c r="F253" s="53" t="str">
        <x:f>IF($B253="","",IFERROR(VLOOKUP($B253,'Data'!$A$2:$B$113,2,FALSE),""))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</x:row>
    <x:row r="254" ht="22" customHeight="1">
      <x:c r="A254" s="32"/>
      <x:c r="B254" s="33"/>
      <x:c r="C254" s="59"/>
      <x:c r="D254" s="52" t="str">
        <x:f>IF($B254="","",IF(OR(RIGHT(TRIM($B254),2)="P250",RIGHT(TRIM($B254),2)="P251",RIGHT(TRIM($B254),2)="P252",RIGHT(TRIM($B254),2)="P253"),"PS","GS"))</x:f>
      </x:c>
      <x:c r="E254" s="62" t="str">
        <x:f>IF($D254="","",IF($D254="PS",'Data'!$O$5,'Data'!$O$4))</x:f>
      </x:c>
      <x:c r="F254" s="53" t="str">
        <x:f>IF($B254="","",IFERROR(VLOOKUP($B254,'Data'!$A$2:$B$113,2,FALSE),""))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</x:row>
    <x:row r="255" ht="22" customHeight="1">
      <x:c r="A255" s="32"/>
      <x:c r="B255" s="33"/>
      <x:c r="C255" s="59"/>
      <x:c r="D255" s="52" t="str">
        <x:f>IF($B255="","",IF(OR(RIGHT(TRIM($B255),2)="P251",RIGHT(TRIM($B255),2)="P252",RIGHT(TRIM($B255),2)="P253",RIGHT(TRIM($B255),2)="P254"),"PS","GS"))</x:f>
      </x:c>
      <x:c r="E255" s="62" t="str">
        <x:f>IF($D255="","",IF($D255="PS",'Data'!$O$5,'Data'!$O$4))</x:f>
      </x:c>
      <x:c r="F255" s="53" t="str">
        <x:f>IF($B255="","",IFERROR(VLOOKUP($B255,'Data'!$A$2:$B$113,2,FALSE),""))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</x:row>
    <x:row r="256" ht="22" customHeight="1">
      <x:c r="A256" s="32"/>
      <x:c r="B256" s="33"/>
      <x:c r="C256" s="59"/>
      <x:c r="D256" s="52" t="str">
        <x:f>IF($B256="","",IF(OR(RIGHT(TRIM($B256),2)="P252",RIGHT(TRIM($B256),2)="P253",RIGHT(TRIM($B256),2)="P254",RIGHT(TRIM($B256),2)="P255"),"PS","GS"))</x:f>
      </x:c>
      <x:c r="E256" s="62" t="str">
        <x:f>IF($D256="","",IF($D256="PS",'Data'!$O$5,'Data'!$O$4))</x:f>
      </x:c>
      <x:c r="F256" s="53" t="str">
        <x:f>IF($B256="","",IFERROR(VLOOKUP($B256,'Data'!$A$2:$B$113,2,FALSE),""))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</x:row>
    <x:row r="257" ht="22" customHeight="1">
      <x:c r="A257" s="32"/>
      <x:c r="B257" s="33"/>
      <x:c r="C257" s="59"/>
      <x:c r="D257" s="52" t="str">
        <x:f>IF($B257="","",IF(OR(RIGHT(TRIM($B257),2)="P253",RIGHT(TRIM($B257),2)="P254",RIGHT(TRIM($B257),2)="P255",RIGHT(TRIM($B257),2)="P256"),"PS","GS"))</x:f>
      </x:c>
      <x:c r="E257" s="62" t="str">
        <x:f>IF($D257="","",IF($D257="PS",'Data'!$O$5,'Data'!$O$4))</x:f>
      </x:c>
      <x:c r="F257" s="53" t="str">
        <x:f>IF($B257="","",IFERROR(VLOOKUP($B257,'Data'!$A$2:$B$113,2,FALSE),""))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</x:row>
    <x:row r="258" ht="22" customHeight="1">
      <x:c r="A258" s="32"/>
      <x:c r="B258" s="33"/>
      <x:c r="C258" s="59"/>
      <x:c r="D258" s="52" t="str">
        <x:f>IF($B258="","",IF(OR(RIGHT(TRIM($B258),2)="P254",RIGHT(TRIM($B258),2)="P255",RIGHT(TRIM($B258),2)="P256",RIGHT(TRIM($B258),2)="P257"),"PS","GS"))</x:f>
      </x:c>
      <x:c r="E258" s="62" t="str">
        <x:f>IF($D258="","",IF($D258="PS",'Data'!$O$5,'Data'!$O$4))</x:f>
      </x:c>
      <x:c r="F258" s="53" t="str">
        <x:f>IF($B258="","",IFERROR(VLOOKUP($B258,'Data'!$A$2:$B$113,2,FALSE),""))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</x:row>
    <x:row r="259" ht="22" customHeight="1">
      <x:c r="A259" s="32"/>
      <x:c r="B259" s="33"/>
      <x:c r="C259" s="59"/>
      <x:c r="D259" s="52" t="str">
        <x:f>IF($B259="","",IF(OR(RIGHT(TRIM($B259),2)="P255",RIGHT(TRIM($B259),2)="P256",RIGHT(TRIM($B259),2)="P257",RIGHT(TRIM($B259),2)="P258"),"PS","GS"))</x:f>
      </x:c>
      <x:c r="E259" s="62" t="str">
        <x:f>IF($D259="","",IF($D259="PS",'Data'!$O$5,'Data'!$O$4))</x:f>
      </x:c>
      <x:c r="F259" s="53" t="str">
        <x:f>IF($B259="","",IFERROR(VLOOKUP($B259,'Data'!$A$2:$B$113,2,FALSE),""))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</x:row>
    <x:row r="260" ht="22" customHeight="1">
      <x:c r="A260" s="32"/>
      <x:c r="B260" s="33"/>
      <x:c r="C260" s="59"/>
      <x:c r="D260" s="52" t="str">
        <x:f>IF($B260="","",IF(OR(RIGHT(TRIM($B260),2)="P256",RIGHT(TRIM($B260),2)="P257",RIGHT(TRIM($B260),2)="P258",RIGHT(TRIM($B260),2)="P259"),"PS","GS"))</x:f>
      </x:c>
      <x:c r="E260" s="62" t="str">
        <x:f>IF($D260="","",IF($D260="PS",'Data'!$O$5,'Data'!$O$4))</x:f>
      </x:c>
      <x:c r="F260" s="53" t="str">
        <x:f>IF($B260="","",IFERROR(VLOOKUP($B260,'Data'!$A$2:$B$113,2,FALSE),""))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</x:row>
    <x:row r="261" ht="22" customHeight="1">
      <x:c r="A261" s="32"/>
      <x:c r="B261" s="33"/>
      <x:c r="C261" s="59"/>
      <x:c r="D261" s="52" t="str">
        <x:f>IF($B261="","",IF(OR(RIGHT(TRIM($B261),2)="P257",RIGHT(TRIM($B261),2)="P258",RIGHT(TRIM($B261),2)="P259",RIGHT(TRIM($B261),2)="P260"),"PS","GS"))</x:f>
      </x:c>
      <x:c r="E261" s="62" t="str">
        <x:f>IF($D261="","",IF($D261="PS",'Data'!$O$5,'Data'!$O$4))</x:f>
      </x:c>
      <x:c r="F261" s="53" t="str">
        <x:f>IF($B261="","",IFERROR(VLOOKUP($B261,'Data'!$A$2:$B$113,2,FALSE),""))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</x:row>
    <x:row r="262" ht="22" customHeight="1">
      <x:c r="A262" s="32"/>
      <x:c r="B262" s="33"/>
      <x:c r="C262" s="59"/>
      <x:c r="D262" s="52" t="str">
        <x:f>IF($B262="","",IF(OR(RIGHT(TRIM($B262),2)="P258",RIGHT(TRIM($B262),2)="P259",RIGHT(TRIM($B262),2)="P260",RIGHT(TRIM($B262),2)="P261"),"PS","GS"))</x:f>
      </x:c>
      <x:c r="E262" s="62" t="str">
        <x:f>IF($D262="","",IF($D262="PS",'Data'!$O$5,'Data'!$O$4))</x:f>
      </x:c>
      <x:c r="F262" s="53" t="str">
        <x:f>IF($B262="","",IFERROR(VLOOKUP($B262,'Data'!$A$2:$B$113,2,FALSE),""))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</x:row>
    <x:row r="263" ht="22" customHeight="1">
      <x:c r="A263" s="32"/>
      <x:c r="B263" s="33"/>
      <x:c r="C263" s="59"/>
      <x:c r="D263" s="52" t="str">
        <x:f>IF($B263="","",IF(OR(RIGHT(TRIM($B263),2)="P259",RIGHT(TRIM($B263),2)="P260",RIGHT(TRIM($B263),2)="P261",RIGHT(TRIM($B263),2)="P262"),"PS","GS"))</x:f>
      </x:c>
      <x:c r="E263" s="62" t="str">
        <x:f>IF($D263="","",IF($D263="PS",'Data'!$O$5,'Data'!$O$4))</x:f>
      </x:c>
      <x:c r="F263" s="53" t="str">
        <x:f>IF($B263="","",IFERROR(VLOOKUP($B263,'Data'!$A$2:$B$113,2,FALSE),""))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</x:row>
    <x:row r="264" ht="22" customHeight="1">
      <x:c r="A264" s="32"/>
      <x:c r="B264" s="33"/>
      <x:c r="C264" s="59"/>
      <x:c r="D264" s="52" t="str">
        <x:f>IF($B264="","",IF(OR(RIGHT(TRIM($B264),2)="P260",RIGHT(TRIM($B264),2)="P261",RIGHT(TRIM($B264),2)="P262",RIGHT(TRIM($B264),2)="P263"),"PS","GS"))</x:f>
      </x:c>
      <x:c r="E264" s="62" t="str">
        <x:f>IF($D264="","",IF($D264="PS",'Data'!$O$5,'Data'!$O$4))</x:f>
      </x:c>
      <x:c r="F264" s="53" t="str">
        <x:f>IF($B264="","",IFERROR(VLOOKUP($B264,'Data'!$A$2:$B$113,2,FALSE),""))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</x:row>
    <x:row r="265" ht="22" customHeight="1">
      <x:c r="A265" s="32"/>
      <x:c r="B265" s="33"/>
      <x:c r="C265" s="59"/>
      <x:c r="D265" s="52" t="str">
        <x:f>IF($B265="","",IF(OR(RIGHT(TRIM($B265),2)="P261",RIGHT(TRIM($B265),2)="P262",RIGHT(TRIM($B265),2)="P263",RIGHT(TRIM($B265),2)="P264"),"PS","GS"))</x:f>
      </x:c>
      <x:c r="E265" s="62" t="str">
        <x:f>IF($D265="","",IF($D265="PS",'Data'!$O$5,'Data'!$O$4))</x:f>
      </x:c>
      <x:c r="F265" s="53" t="str">
        <x:f>IF($B265="","",IFERROR(VLOOKUP($B265,'Data'!$A$2:$B$113,2,FALSE),""))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</x:row>
    <x:row r="266" ht="22" customHeight="1">
      <x:c r="A266" s="32"/>
      <x:c r="B266" s="33"/>
      <x:c r="C266" s="59"/>
      <x:c r="D266" s="52" t="str">
        <x:f>IF($B266="","",IF(OR(RIGHT(TRIM($B266),2)="P262",RIGHT(TRIM($B266),2)="P263",RIGHT(TRIM($B266),2)="P264",RIGHT(TRIM($B266),2)="P265"),"PS","GS"))</x:f>
      </x:c>
      <x:c r="E266" s="62" t="str">
        <x:f>IF($D266="","",IF($D266="PS",'Data'!$O$5,'Data'!$O$4))</x:f>
      </x:c>
      <x:c r="F266" s="53" t="str">
        <x:f>IF($B266="","",IFERROR(VLOOKUP($B266,'Data'!$A$2:$B$113,2,FALSE),""))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</x:row>
    <x:row r="267" ht="22" customHeight="1">
      <x:c r="A267" s="32"/>
      <x:c r="B267" s="33"/>
      <x:c r="C267" s="59"/>
      <x:c r="D267" s="52" t="str">
        <x:f>IF($B267="","",IF(OR(RIGHT(TRIM($B267),2)="P263",RIGHT(TRIM($B267),2)="P264",RIGHT(TRIM($B267),2)="P265",RIGHT(TRIM($B267),2)="P266"),"PS","GS"))</x:f>
      </x:c>
      <x:c r="E267" s="62" t="str">
        <x:f>IF($D267="","",IF($D267="PS",'Data'!$O$5,'Data'!$O$4))</x:f>
      </x:c>
      <x:c r="F267" s="53" t="str">
        <x:f>IF($B267="","",IFERROR(VLOOKUP($B267,'Data'!$A$2:$B$113,2,FALSE),""))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</x:row>
    <x:row r="268" ht="22" customHeight="1">
      <x:c r="A268" s="32"/>
      <x:c r="B268" s="33"/>
      <x:c r="C268" s="59"/>
      <x:c r="D268" s="52" t="str">
        <x:f>IF($B268="","",IF(OR(RIGHT(TRIM($B268),2)="P264",RIGHT(TRIM($B268),2)="P265",RIGHT(TRIM($B268),2)="P266",RIGHT(TRIM($B268),2)="P267"),"PS","GS"))</x:f>
      </x:c>
      <x:c r="E268" s="62" t="str">
        <x:f>IF($D268="","",IF($D268="PS",'Data'!$O$5,'Data'!$O$4))</x:f>
      </x:c>
      <x:c r="F268" s="53" t="str">
        <x:f>IF($B268="","",IFERROR(VLOOKUP($B268,'Data'!$A$2:$B$113,2,FALSE),""))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</x:row>
    <x:row r="269" ht="22" customHeight="1">
      <x:c r="A269" s="32"/>
      <x:c r="B269" s="33"/>
      <x:c r="C269" s="59"/>
      <x:c r="D269" s="52" t="str">
        <x:f>IF($B269="","",IF(OR(RIGHT(TRIM($B269),2)="P265",RIGHT(TRIM($B269),2)="P266",RIGHT(TRIM($B269),2)="P267",RIGHT(TRIM($B269),2)="P268"),"PS","GS"))</x:f>
      </x:c>
      <x:c r="E269" s="62" t="str">
        <x:f>IF($D269="","",IF($D269="PS",'Data'!$O$5,'Data'!$O$4))</x:f>
      </x:c>
      <x:c r="F269" s="53" t="str">
        <x:f>IF($B269="","",IFERROR(VLOOKUP($B269,'Data'!$A$2:$B$113,2,FALSE),""))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</x:row>
    <x:row r="270" ht="22" customHeight="1">
      <x:c r="A270" s="32"/>
      <x:c r="B270" s="33"/>
      <x:c r="C270" s="59"/>
      <x:c r="D270" s="52" t="str">
        <x:f>IF($B270="","",IF(OR(RIGHT(TRIM($B270),2)="P266",RIGHT(TRIM($B270),2)="P267",RIGHT(TRIM($B270),2)="P268",RIGHT(TRIM($B270),2)="P269"),"PS","GS"))</x:f>
      </x:c>
      <x:c r="E270" s="62" t="str">
        <x:f>IF($D270="","",IF($D270="PS",'Data'!$O$5,'Data'!$O$4))</x:f>
      </x:c>
      <x:c r="F270" s="53" t="str">
        <x:f>IF($B270="","",IFERROR(VLOOKUP($B270,'Data'!$A$2:$B$113,2,FALSE),""))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</x:row>
    <x:row r="271" ht="22" customHeight="1">
      <x:c r="A271" s="32"/>
      <x:c r="B271" s="33"/>
      <x:c r="C271" s="59"/>
      <x:c r="D271" s="52" t="str">
        <x:f>IF($B271="","",IF(OR(RIGHT(TRIM($B271),2)="P267",RIGHT(TRIM($B271),2)="P268",RIGHT(TRIM($B271),2)="P269",RIGHT(TRIM($B271),2)="P270"),"PS","GS"))</x:f>
      </x:c>
      <x:c r="E271" s="62" t="str">
        <x:f>IF($D271="","",IF($D271="PS",'Data'!$O$5,'Data'!$O$4))</x:f>
      </x:c>
      <x:c r="F271" s="53" t="str">
        <x:f>IF($B271="","",IFERROR(VLOOKUP($B271,'Data'!$A$2:$B$113,2,FALSE),""))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</x:row>
    <x:row r="272" ht="22" customHeight="1">
      <x:c r="A272" s="32"/>
      <x:c r="B272" s="33"/>
      <x:c r="C272" s="59"/>
      <x:c r="D272" s="52" t="str">
        <x:f>IF($B272="","",IF(OR(RIGHT(TRIM($B272),2)="P268",RIGHT(TRIM($B272),2)="P269",RIGHT(TRIM($B272),2)="P270",RIGHT(TRIM($B272),2)="P271"),"PS","GS"))</x:f>
      </x:c>
      <x:c r="E272" s="62" t="str">
        <x:f>IF($D272="","",IF($D272="PS",'Data'!$O$5,'Data'!$O$4))</x:f>
      </x:c>
      <x:c r="F272" s="53" t="str">
        <x:f>IF($B272="","",IFERROR(VLOOKUP($B272,'Data'!$A$2:$B$113,2,FALSE),""))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</x:row>
    <x:row r="273" ht="22" customHeight="1">
      <x:c r="A273" s="32"/>
      <x:c r="B273" s="33"/>
      <x:c r="C273" s="59"/>
      <x:c r="D273" s="52" t="str">
        <x:f>IF($B273="","",IF(OR(RIGHT(TRIM($B273),2)="P269",RIGHT(TRIM($B273),2)="P270",RIGHT(TRIM($B273),2)="P271",RIGHT(TRIM($B273),2)="P272"),"PS","GS"))</x:f>
      </x:c>
      <x:c r="E273" s="62" t="str">
        <x:f>IF($D273="","",IF($D273="PS",'Data'!$O$5,'Data'!$O$4))</x:f>
      </x:c>
      <x:c r="F273" s="53" t="str">
        <x:f>IF($B273="","",IFERROR(VLOOKUP($B273,'Data'!$A$2:$B$113,2,FALSE),""))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</x:row>
    <x:row r="274" ht="22" customHeight="1">
      <x:c r="A274" s="32"/>
      <x:c r="B274" s="33"/>
      <x:c r="C274" s="59"/>
      <x:c r="D274" s="52" t="str">
        <x:f>IF($B274="","",IF(OR(RIGHT(TRIM($B274),2)="P270",RIGHT(TRIM($B274),2)="P271",RIGHT(TRIM($B274),2)="P272",RIGHT(TRIM($B274),2)="P273"),"PS","GS"))</x:f>
      </x:c>
      <x:c r="E274" s="62" t="str">
        <x:f>IF($D274="","",IF($D274="PS",'Data'!$O$5,'Data'!$O$4))</x:f>
      </x:c>
      <x:c r="F274" s="53" t="str">
        <x:f>IF($B274="","",IFERROR(VLOOKUP($B274,'Data'!$A$2:$B$113,2,FALSE),""))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</x:row>
    <x:row r="275" ht="22" customHeight="1">
      <x:c r="A275" s="32"/>
      <x:c r="B275" s="33"/>
      <x:c r="C275" s="59"/>
      <x:c r="D275" s="52" t="str">
        <x:f>IF($B275="","",IF(OR(RIGHT(TRIM($B275),2)="P271",RIGHT(TRIM($B275),2)="P272",RIGHT(TRIM($B275),2)="P273",RIGHT(TRIM($B275),2)="P274"),"PS","GS"))</x:f>
      </x:c>
      <x:c r="E275" s="62" t="str">
        <x:f>IF($D275="","",IF($D275="PS",'Data'!$O$5,'Data'!$O$4))</x:f>
      </x:c>
      <x:c r="F275" s="53" t="str">
        <x:f>IF($B275="","",IFERROR(VLOOKUP($B275,'Data'!$A$2:$B$113,2,FALSE),""))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</x:row>
    <x:row r="276" ht="22" customHeight="1">
      <x:c r="A276" s="32"/>
      <x:c r="B276" s="33"/>
      <x:c r="C276" s="59"/>
      <x:c r="D276" s="52" t="str">
        <x:f>IF($B276="","",IF(OR(RIGHT(TRIM($B276),2)="P272",RIGHT(TRIM($B276),2)="P273",RIGHT(TRIM($B276),2)="P274",RIGHT(TRIM($B276),2)="P275"),"PS","GS"))</x:f>
      </x:c>
      <x:c r="E276" s="62" t="str">
        <x:f>IF($D276="","",IF($D276="PS",'Data'!$O$5,'Data'!$O$4))</x:f>
      </x:c>
      <x:c r="F276" s="53" t="str">
        <x:f>IF($B276="","",IFERROR(VLOOKUP($B276,'Data'!$A$2:$B$113,2,FALSE),""))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</x:row>
    <x:row r="277" ht="22" customHeight="1">
      <x:c r="A277" s="32"/>
      <x:c r="B277" s="33"/>
      <x:c r="C277" s="59"/>
      <x:c r="D277" s="52" t="str">
        <x:f>IF($B277="","",IF(OR(RIGHT(TRIM($B277),2)="P273",RIGHT(TRIM($B277),2)="P274",RIGHT(TRIM($B277),2)="P275",RIGHT(TRIM($B277),2)="P276"),"PS","GS"))</x:f>
      </x:c>
      <x:c r="E277" s="62" t="str">
        <x:f>IF($D277="","",IF($D277="PS",'Data'!$O$5,'Data'!$O$4))</x:f>
      </x:c>
      <x:c r="F277" s="53" t="str">
        <x:f>IF($B277="","",IFERROR(VLOOKUP($B277,'Data'!$A$2:$B$113,2,FALSE),""))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</x:row>
    <x:row r="278" ht="22" customHeight="1">
      <x:c r="A278" s="32"/>
      <x:c r="B278" s="33"/>
      <x:c r="C278" s="59"/>
      <x:c r="D278" s="52" t="str">
        <x:f>IF($B278="","",IF(OR(RIGHT(TRIM($B278),2)="P274",RIGHT(TRIM($B278),2)="P275",RIGHT(TRIM($B278),2)="P276",RIGHT(TRIM($B278),2)="P277"),"PS","GS"))</x:f>
      </x:c>
      <x:c r="E278" s="62" t="str">
        <x:f>IF($D278="","",IF($D278="PS",'Data'!$O$5,'Data'!$O$4))</x:f>
      </x:c>
      <x:c r="F278" s="53" t="str">
        <x:f>IF($B278="","",IFERROR(VLOOKUP($B278,'Data'!$A$2:$B$113,2,FALSE),""))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</x:row>
    <x:row r="279" ht="22" customHeight="1">
      <x:c r="A279" s="32"/>
      <x:c r="B279" s="33"/>
      <x:c r="C279" s="59"/>
      <x:c r="D279" s="52" t="str">
        <x:f>IF($B279="","",IF(OR(RIGHT(TRIM($B279),2)="P275",RIGHT(TRIM($B279),2)="P276",RIGHT(TRIM($B279),2)="P277",RIGHT(TRIM($B279),2)="P278"),"PS","GS"))</x:f>
      </x:c>
      <x:c r="E279" s="62" t="str">
        <x:f>IF($D279="","",IF($D279="PS",'Data'!$O$5,'Data'!$O$4))</x:f>
      </x:c>
      <x:c r="F279" s="53" t="str">
        <x:f>IF($B279="","",IFERROR(VLOOKUP($B279,'Data'!$A$2:$B$113,2,FALSE),""))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</x:row>
    <x:row r="280" ht="22" customHeight="1">
      <x:c r="A280" s="32"/>
      <x:c r="B280" s="33"/>
      <x:c r="C280" s="59"/>
      <x:c r="D280" s="52" t="str">
        <x:f>IF($B280="","",IF(OR(RIGHT(TRIM($B280),2)="P276",RIGHT(TRIM($B280),2)="P277",RIGHT(TRIM($B280),2)="P278",RIGHT(TRIM($B280),2)="P279"),"PS","GS"))</x:f>
      </x:c>
      <x:c r="E280" s="62" t="str">
        <x:f>IF($D280="","",IF($D280="PS",'Data'!$O$5,'Data'!$O$4))</x:f>
      </x:c>
      <x:c r="F280" s="53" t="str">
        <x:f>IF($B280="","",IFERROR(VLOOKUP($B280,'Data'!$A$2:$B$113,2,FALSE),""))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</x:row>
    <x:row r="281" ht="22" customHeight="1">
      <x:c r="A281" s="32"/>
      <x:c r="B281" s="33"/>
      <x:c r="C281" s="59"/>
      <x:c r="D281" s="52" t="str">
        <x:f>IF($B281="","",IF(OR(RIGHT(TRIM($B281),2)="P277",RIGHT(TRIM($B281),2)="P278",RIGHT(TRIM($B281),2)="P279",RIGHT(TRIM($B281),2)="P280"),"PS","GS"))</x:f>
      </x:c>
      <x:c r="E281" s="62" t="str">
        <x:f>IF($D281="","",IF($D281="PS",'Data'!$O$5,'Data'!$O$4))</x:f>
      </x:c>
      <x:c r="F281" s="53" t="str">
        <x:f>IF($B281="","",IFERROR(VLOOKUP($B281,'Data'!$A$2:$B$113,2,FALSE),""))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</x:row>
    <x:row r="282" ht="22" customHeight="1">
      <x:c r="A282" s="32"/>
      <x:c r="B282" s="33"/>
      <x:c r="C282" s="59"/>
      <x:c r="D282" s="52" t="str">
        <x:f>IF($B282="","",IF(OR(RIGHT(TRIM($B282),2)="P278",RIGHT(TRIM($B282),2)="P279",RIGHT(TRIM($B282),2)="P280",RIGHT(TRIM($B282),2)="P281"),"PS","GS"))</x:f>
      </x:c>
      <x:c r="E282" s="62" t="str">
        <x:f>IF($D282="","",IF($D282="PS",'Data'!$O$5,'Data'!$O$4))</x:f>
      </x:c>
      <x:c r="F282" s="53" t="str">
        <x:f>IF($B282="","",IFERROR(VLOOKUP($B282,'Data'!$A$2:$B$113,2,FALSE),""))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</x:row>
    <x:row r="283" ht="22" customHeight="1">
      <x:c r="A283" s="32"/>
      <x:c r="B283" s="33"/>
      <x:c r="C283" s="59"/>
      <x:c r="D283" s="52" t="str">
        <x:f>IF($B283="","",IF(OR(RIGHT(TRIM($B283),2)="P279",RIGHT(TRIM($B283),2)="P280",RIGHT(TRIM($B283),2)="P281",RIGHT(TRIM($B283),2)="P282"),"PS","GS"))</x:f>
      </x:c>
      <x:c r="E283" s="62" t="str">
        <x:f>IF($D283="","",IF($D283="PS",'Data'!$O$5,'Data'!$O$4))</x:f>
      </x:c>
      <x:c r="F283" s="53" t="str">
        <x:f>IF($B283="","",IFERROR(VLOOKUP($B283,'Data'!$A$2:$B$113,2,FALSE),""))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</x:row>
    <x:row r="284" ht="22" customHeight="1">
      <x:c r="A284" s="32"/>
      <x:c r="B284" s="33"/>
      <x:c r="C284" s="59"/>
      <x:c r="D284" s="52" t="str">
        <x:f>IF($B284="","",IF(OR(RIGHT(TRIM($B284),2)="P280",RIGHT(TRIM($B284),2)="P281",RIGHT(TRIM($B284),2)="P282",RIGHT(TRIM($B284),2)="P283"),"PS","GS"))</x:f>
      </x:c>
      <x:c r="E284" s="62" t="str">
        <x:f>IF($D284="","",IF($D284="PS",'Data'!$O$5,'Data'!$O$4))</x:f>
      </x:c>
      <x:c r="F284" s="53" t="str">
        <x:f>IF($B284="","",IFERROR(VLOOKUP($B284,'Data'!$A$2:$B$113,2,FALSE),""))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</x:row>
    <x:row r="285" ht="22" customHeight="1">
      <x:c r="A285" s="32"/>
      <x:c r="B285" s="33"/>
      <x:c r="C285" s="59"/>
      <x:c r="D285" s="52" t="str">
        <x:f>IF($B285="","",IF(OR(RIGHT(TRIM($B285),2)="P281",RIGHT(TRIM($B285),2)="P282",RIGHT(TRIM($B285),2)="P283",RIGHT(TRIM($B285),2)="P284"),"PS","GS"))</x:f>
      </x:c>
      <x:c r="E285" s="62" t="str">
        <x:f>IF($D285="","",IF($D285="PS",'Data'!$O$5,'Data'!$O$4))</x:f>
      </x:c>
      <x:c r="F285" s="53" t="str">
        <x:f>IF($B285="","",IFERROR(VLOOKUP($B285,'Data'!$A$2:$B$113,2,FALSE),""))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</x:row>
    <x:row r="286" ht="22" customHeight="1">
      <x:c r="A286" s="32"/>
      <x:c r="B286" s="33"/>
      <x:c r="C286" s="59"/>
      <x:c r="D286" s="52" t="str">
        <x:f>IF($B286="","",IF(OR(RIGHT(TRIM($B286),2)="P282",RIGHT(TRIM($B286),2)="P283",RIGHT(TRIM($B286),2)="P284",RIGHT(TRIM($B286),2)="P285"),"PS","GS"))</x:f>
      </x:c>
      <x:c r="E286" s="62" t="str">
        <x:f>IF($D286="","",IF($D286="PS",'Data'!$O$5,'Data'!$O$4))</x:f>
      </x:c>
      <x:c r="F286" s="53" t="str">
        <x:f>IF($B286="","",IFERROR(VLOOKUP($B286,'Data'!$A$2:$B$113,2,FALSE),""))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</x:row>
    <x:row r="287" ht="22" customHeight="1">
      <x:c r="A287" s="32"/>
      <x:c r="B287" s="33"/>
      <x:c r="C287" s="59"/>
      <x:c r="D287" s="52" t="str">
        <x:f>IF($B287="","",IF(OR(RIGHT(TRIM($B287),2)="P283",RIGHT(TRIM($B287),2)="P284",RIGHT(TRIM($B287),2)="P285",RIGHT(TRIM($B287),2)="P286"),"PS","GS"))</x:f>
      </x:c>
      <x:c r="E287" s="62" t="str">
        <x:f>IF($D287="","",IF($D287="PS",'Data'!$O$5,'Data'!$O$4))</x:f>
      </x:c>
      <x:c r="F287" s="53" t="str">
        <x:f>IF($B287="","",IFERROR(VLOOKUP($B287,'Data'!$A$2:$B$113,2,FALSE),""))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</x:row>
    <x:row r="288" ht="22" customHeight="1">
      <x:c r="A288" s="32"/>
      <x:c r="B288" s="33"/>
      <x:c r="C288" s="59"/>
      <x:c r="D288" s="52" t="str">
        <x:f>IF($B288="","",IF(OR(RIGHT(TRIM($B288),2)="P284",RIGHT(TRIM($B288),2)="P285",RIGHT(TRIM($B288),2)="P286",RIGHT(TRIM($B288),2)="P287"),"PS","GS"))</x:f>
      </x:c>
      <x:c r="E288" s="62" t="str">
        <x:f>IF($D288="","",IF($D288="PS",'Data'!$O$5,'Data'!$O$4))</x:f>
      </x:c>
      <x:c r="F288" s="53" t="str">
        <x:f>IF($B288="","",IFERROR(VLOOKUP($B288,'Data'!$A$2:$B$113,2,FALSE),""))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</x:row>
    <x:row r="289" ht="22" customHeight="1">
      <x:c r="A289" s="32"/>
      <x:c r="B289" s="33"/>
      <x:c r="C289" s="59"/>
      <x:c r="D289" s="52" t="str">
        <x:f>IF($B289="","",IF(OR(RIGHT(TRIM($B289),2)="P285",RIGHT(TRIM($B289),2)="P286",RIGHT(TRIM($B289),2)="P287",RIGHT(TRIM($B289),2)="P288"),"PS","GS"))</x:f>
      </x:c>
      <x:c r="E289" s="62" t="str">
        <x:f>IF($D289="","",IF($D289="PS",'Data'!$O$5,'Data'!$O$4))</x:f>
      </x:c>
      <x:c r="F289" s="53" t="str">
        <x:f>IF($B289="","",IFERROR(VLOOKUP($B289,'Data'!$A$2:$B$113,2,FALSE),""))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</x:row>
    <x:row r="290" ht="22" customHeight="1">
      <x:c r="A290" s="32"/>
      <x:c r="B290" s="33"/>
      <x:c r="C290" s="59"/>
      <x:c r="D290" s="52" t="str">
        <x:f>IF($B290="","",IF(OR(RIGHT(TRIM($B290),2)="P286",RIGHT(TRIM($B290),2)="P287",RIGHT(TRIM($B290),2)="P288",RIGHT(TRIM($B290),2)="P289"),"PS","GS"))</x:f>
      </x:c>
      <x:c r="E290" s="62" t="str">
        <x:f>IF($D290="","",IF($D290="PS",'Data'!$O$5,'Data'!$O$4))</x:f>
      </x:c>
      <x:c r="F290" s="53" t="str">
        <x:f>IF($B290="","",IFERROR(VLOOKUP($B290,'Data'!$A$2:$B$113,2,FALSE),""))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</x:row>
    <x:row r="291" ht="22" customHeight="1">
      <x:c r="A291" s="32"/>
      <x:c r="B291" s="33"/>
      <x:c r="C291" s="59"/>
      <x:c r="D291" s="52" t="str">
        <x:f>IF($B291="","",IF(OR(RIGHT(TRIM($B291),2)="P287",RIGHT(TRIM($B291),2)="P288",RIGHT(TRIM($B291),2)="P289",RIGHT(TRIM($B291),2)="P290"),"PS","GS"))</x:f>
      </x:c>
      <x:c r="E291" s="62" t="str">
        <x:f>IF($D291="","",IF($D291="PS",'Data'!$O$5,'Data'!$O$4))</x:f>
      </x:c>
      <x:c r="F291" s="53" t="str">
        <x:f>IF($B291="","",IFERROR(VLOOKUP($B291,'Data'!$A$2:$B$113,2,FALSE),""))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</x:row>
    <x:row r="292" ht="22" customHeight="1">
      <x:c r="A292" s="32"/>
      <x:c r="B292" s="33"/>
      <x:c r="C292" s="59"/>
      <x:c r="D292" s="52" t="str">
        <x:f>IF($B292="","",IF(OR(RIGHT(TRIM($B292),2)="P288",RIGHT(TRIM($B292),2)="P289",RIGHT(TRIM($B292),2)="P290",RIGHT(TRIM($B292),2)="P291"),"PS","GS"))</x:f>
      </x:c>
      <x:c r="E292" s="62" t="str">
        <x:f>IF($D292="","",IF($D292="PS",'Data'!$O$5,'Data'!$O$4))</x:f>
      </x:c>
      <x:c r="F292" s="53" t="str">
        <x:f>IF($B292="","",IFERROR(VLOOKUP($B292,'Data'!$A$2:$B$113,2,FALSE),""))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</x:row>
    <x:row r="293" ht="22" customHeight="1">
      <x:c r="A293" s="32"/>
      <x:c r="B293" s="33"/>
      <x:c r="C293" s="59"/>
      <x:c r="D293" s="52" t="str">
        <x:f>IF($B293="","",IF(OR(RIGHT(TRIM($B293),2)="P289",RIGHT(TRIM($B293),2)="P290",RIGHT(TRIM($B293),2)="P291",RIGHT(TRIM($B293),2)="P292"),"PS","GS"))</x:f>
      </x:c>
      <x:c r="E293" s="62" t="str">
        <x:f>IF($D293="","",IF($D293="PS",'Data'!$O$5,'Data'!$O$4))</x:f>
      </x:c>
      <x:c r="F293" s="53" t="str">
        <x:f>IF($B293="","",IFERROR(VLOOKUP($B293,'Data'!$A$2:$B$113,2,FALSE),""))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</x:row>
    <x:row r="294" ht="22" customHeight="1">
      <x:c r="A294" s="32"/>
      <x:c r="B294" s="33"/>
      <x:c r="C294" s="59"/>
      <x:c r="D294" s="52" t="str">
        <x:f>IF($B294="","",IF(OR(RIGHT(TRIM($B294),2)="P290",RIGHT(TRIM($B294),2)="P291",RIGHT(TRIM($B294),2)="P292",RIGHT(TRIM($B294),2)="P293"),"PS","GS"))</x:f>
      </x:c>
      <x:c r="E294" s="62" t="str">
        <x:f>IF($D294="","",IF($D294="PS",'Data'!$O$5,'Data'!$O$4))</x:f>
      </x:c>
      <x:c r="F294" s="53" t="str">
        <x:f>IF($B294="","",IFERROR(VLOOKUP($B294,'Data'!$A$2:$B$113,2,FALSE),""))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</x:row>
    <x:row r="295" ht="22" customHeight="1">
      <x:c r="A295" s="32"/>
      <x:c r="B295" s="33"/>
      <x:c r="C295" s="59"/>
      <x:c r="D295" s="52" t="str">
        <x:f>IF($B295="","",IF(OR(RIGHT(TRIM($B295),2)="P291",RIGHT(TRIM($B295),2)="P292",RIGHT(TRIM($B295),2)="P293",RIGHT(TRIM($B295),2)="P294"),"PS","GS"))</x:f>
      </x:c>
      <x:c r="E295" s="62" t="str">
        <x:f>IF($D295="","",IF($D295="PS",'Data'!$O$5,'Data'!$O$4))</x:f>
      </x:c>
      <x:c r="F295" s="53" t="str">
        <x:f>IF($B295="","",IFERROR(VLOOKUP($B295,'Data'!$A$2:$B$113,2,FALSE),""))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</x:row>
    <x:row r="296" ht="22" customHeight="1">
      <x:c r="A296" s="32"/>
      <x:c r="B296" s="33"/>
      <x:c r="C296" s="59"/>
      <x:c r="D296" s="52" t="str">
        <x:f>IF($B296="","",IF(OR(RIGHT(TRIM($B296),2)="P292",RIGHT(TRIM($B296),2)="P293",RIGHT(TRIM($B296),2)="P294",RIGHT(TRIM($B296),2)="P295"),"PS","GS"))</x:f>
      </x:c>
      <x:c r="E296" s="62" t="str">
        <x:f>IF($D296="","",IF($D296="PS",'Data'!$O$5,'Data'!$O$4))</x:f>
      </x:c>
      <x:c r="F296" s="53" t="str">
        <x:f>IF($B296="","",IFERROR(VLOOKUP($B296,'Data'!$A$2:$B$113,2,FALSE),""))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</x:row>
    <x:row r="297" ht="22" customHeight="1">
      <x:c r="A297" s="32"/>
      <x:c r="B297" s="33"/>
      <x:c r="C297" s="59"/>
      <x:c r="D297" s="52" t="str">
        <x:f>IF($B297="","",IF(OR(RIGHT(TRIM($B297),2)="P293",RIGHT(TRIM($B297),2)="P294",RIGHT(TRIM($B297),2)="P295",RIGHT(TRIM($B297),2)="P296"),"PS","GS"))</x:f>
      </x:c>
      <x:c r="E297" s="62" t="str">
        <x:f>IF($D297="","",IF($D297="PS",'Data'!$O$5,'Data'!$O$4))</x:f>
      </x:c>
      <x:c r="F297" s="53" t="str">
        <x:f>IF($B297="","",IFERROR(VLOOKUP($B297,'Data'!$A$2:$B$113,2,FALSE),""))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</x:row>
    <x:row r="298" ht="22" customHeight="1">
      <x:c r="A298" s="32"/>
      <x:c r="B298" s="33"/>
      <x:c r="C298" s="59"/>
      <x:c r="D298" s="52" t="str">
        <x:f>IF($B298="","",IF(OR(RIGHT(TRIM($B298),2)="P294",RIGHT(TRIM($B298),2)="P295",RIGHT(TRIM($B298),2)="P296",RIGHT(TRIM($B298),2)="P297"),"PS","GS"))</x:f>
      </x:c>
      <x:c r="E298" s="62" t="str">
        <x:f>IF($D298="","",IF($D298="PS",'Data'!$O$5,'Data'!$O$4))</x:f>
      </x:c>
      <x:c r="F298" s="53" t="str">
        <x:f>IF($B298="","",IFERROR(VLOOKUP($B298,'Data'!$A$2:$B$113,2,FALSE),""))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</x:row>
    <x:row r="299" ht="22" customHeight="1">
      <x:c r="A299" s="32"/>
      <x:c r="B299" s="33"/>
      <x:c r="C299" s="59"/>
      <x:c r="D299" s="52" t="str">
        <x:f>IF($B299="","",IF(OR(RIGHT(TRIM($B299),2)="P295",RIGHT(TRIM($B299),2)="P296",RIGHT(TRIM($B299),2)="P297",RIGHT(TRIM($B299),2)="P298"),"PS","GS"))</x:f>
      </x:c>
      <x:c r="E299" s="62" t="str">
        <x:f>IF($D299="","",IF($D299="PS",'Data'!$O$5,'Data'!$O$4))</x:f>
      </x:c>
      <x:c r="F299" s="53" t="str">
        <x:f>IF($B299="","",IFERROR(VLOOKUP($B299,'Data'!$A$2:$B$113,2,FALSE),""))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</x:row>
    <x:row r="300" ht="22" customHeight="1">
      <x:c r="A300" s="32"/>
      <x:c r="B300" s="33"/>
      <x:c r="C300" s="59"/>
      <x:c r="D300" s="52" t="str">
        <x:f>IF($B300="","",IF(OR(RIGHT(TRIM($B300),2)="P296",RIGHT(TRIM($B300),2)="P297",RIGHT(TRIM($B300),2)="P298",RIGHT(TRIM($B300),2)="P299"),"PS","GS"))</x:f>
      </x:c>
      <x:c r="E300" s="62" t="str">
        <x:f>IF($D300="","",IF($D300="PS",'Data'!$O$5,'Data'!$O$4))</x:f>
      </x:c>
      <x:c r="F300" s="53" t="str">
        <x:f>IF($B300="","",IFERROR(VLOOKUP($B300,'Data'!$A$2:$B$113,2,FALSE),""))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</x:row>
    <x:row r="301" ht="22" customHeight="1">
      <x:c r="A301" s="32"/>
      <x:c r="B301" s="33"/>
      <x:c r="C301" s="59"/>
      <x:c r="D301" s="52" t="str">
        <x:f>IF($B301="","",IF(OR(RIGHT(TRIM($B301),2)="P297",RIGHT(TRIM($B301),2)="P298",RIGHT(TRIM($B301),2)="P299",RIGHT(TRIM($B301),2)="P300"),"PS","GS"))</x:f>
      </x:c>
      <x:c r="E301" s="62" t="str">
        <x:f>IF($D301="","",IF($D301="PS",'Data'!$O$5,'Data'!$O$4))</x:f>
      </x:c>
      <x:c r="F301" s="53" t="str">
        <x:f>IF($B301="","",IFERROR(VLOOKUP($B301,'Data'!$A$2:$B$113,2,FALSE),""))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</x:row>
    <x:row r="302" ht="22" customHeight="1">
      <x:c r="A302" s="32"/>
      <x:c r="B302" s="33"/>
      <x:c r="C302" s="59"/>
      <x:c r="D302" s="52" t="str">
        <x:f>IF($B302="","",IF(OR(RIGHT(TRIM($B302),2)="P298",RIGHT(TRIM($B302),2)="P299",RIGHT(TRIM($B302),2)="P300",RIGHT(TRIM($B302),2)="P301"),"PS","GS"))</x:f>
      </x:c>
      <x:c r="E302" s="62" t="str">
        <x:f>IF($D302="","",IF($D302="PS",'Data'!$O$5,'Data'!$O$4))</x:f>
      </x:c>
      <x:c r="F302" s="53" t="str">
        <x:f>IF($B302="","",IFERROR(VLOOKUP($B302,'Data'!$A$2:$B$113,2,FALSE),""))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</x:row>
    <x:row r="303" ht="22" customHeight="1">
      <x:c r="A303" s="32"/>
      <x:c r="B303" s="33"/>
      <x:c r="C303" s="59"/>
      <x:c r="D303" s="52" t="str">
        <x:f>IF($B303="","",IF(OR(RIGHT(TRIM($B303),2)="P299",RIGHT(TRIM($B303),2)="P300",RIGHT(TRIM($B303),2)="P301",RIGHT(TRIM($B303),2)="P302"),"PS","GS"))</x:f>
      </x:c>
      <x:c r="E303" s="62" t="str">
        <x:f>IF($D303="","",IF($D303="PS",'Data'!$O$5,'Data'!$O$4))</x:f>
      </x:c>
      <x:c r="F303" s="53" t="str">
        <x:f>IF($B303="","",IFERROR(VLOOKUP($B303,'Data'!$A$2:$B$113,2,FALSE),""))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</x:row>
    <x:row r="304" ht="22" customHeight="1">
      <x:c r="A304" s="32"/>
      <x:c r="B304" s="33"/>
      <x:c r="C304" s="59"/>
      <x:c r="D304" s="52" t="str">
        <x:f>IF($B304="","",IF(OR(RIGHT(TRIM($B304),2)="P300",RIGHT(TRIM($B304),2)="P301",RIGHT(TRIM($B304),2)="P302",RIGHT(TRIM($B304),2)="P303"),"PS","GS"))</x:f>
      </x:c>
      <x:c r="E304" s="62" t="str">
        <x:f>IF($D304="","",IF($D304="PS",'Data'!$O$5,'Data'!$O$4))</x:f>
      </x:c>
      <x:c r="F304" s="53" t="str">
        <x:f>IF($B304="","",IFERROR(VLOOKUP($B304,'Data'!$A$2:$B$113,2,FALSE),""))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</x:row>
    <x:row r="305" ht="22" customHeight="1">
      <x:c r="A305" s="32"/>
      <x:c r="B305" s="33"/>
      <x:c r="C305" s="59"/>
      <x:c r="D305" s="52" t="str">
        <x:f>IF($B305="","",IF(OR(RIGHT(TRIM($B305),2)="P301",RIGHT(TRIM($B305),2)="P302",RIGHT(TRIM($B305),2)="P303",RIGHT(TRIM($B305),2)="P304"),"PS","GS"))</x:f>
      </x:c>
      <x:c r="E305" s="62" t="str">
        <x:f>IF($D305="","",IF($D305="PS",'Data'!$O$5,'Data'!$O$4))</x:f>
      </x:c>
      <x:c r="F305" s="53" t="str">
        <x:f>IF($B305="","",IFERROR(VLOOKUP($B305,'Data'!$A$2:$B$113,2,FALSE),""))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</x:row>
    <x:row r="306" ht="22" customHeight="1">
      <x:c r="A306" s="32"/>
      <x:c r="B306" s="33"/>
      <x:c r="C306" s="59"/>
      <x:c r="D306" s="52" t="str">
        <x:f>IF($B306="","",IF(OR(RIGHT(TRIM($B306),2)="P302",RIGHT(TRIM($B306),2)="P303",RIGHT(TRIM($B306),2)="P304",RIGHT(TRIM($B306),2)="P305"),"PS","GS"))</x:f>
      </x:c>
      <x:c r="E306" s="62" t="str">
        <x:f>IF($D306="","",IF($D306="PS",'Data'!$O$5,'Data'!$O$4))</x:f>
      </x:c>
      <x:c r="F306" s="53" t="str">
        <x:f>IF($B306="","",IFERROR(VLOOKUP($B306,'Data'!$A$2:$B$113,2,FALSE),""))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</x:row>
    <x:row r="307" ht="22" customHeight="1">
      <x:c r="A307" s="32"/>
      <x:c r="B307" s="33"/>
      <x:c r="C307" s="59"/>
      <x:c r="D307" s="52" t="str">
        <x:f>IF($B307="","",IF(OR(RIGHT(TRIM($B307),2)="P303",RIGHT(TRIM($B307),2)="P304",RIGHT(TRIM($B307),2)="P305",RIGHT(TRIM($B307),2)="P306"),"PS","GS"))</x:f>
      </x:c>
      <x:c r="E307" s="62" t="str">
        <x:f>IF($D307="","",IF($D307="PS",'Data'!$O$5,'Data'!$O$4))</x:f>
      </x:c>
      <x:c r="F307" s="53" t="str">
        <x:f>IF($B307="","",IFERROR(VLOOKUP($B307,'Data'!$A$2:$B$113,2,FALSE),""))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</x:row>
    <x:row r="308" ht="22" customHeight="1">
      <x:c r="A308" s="32"/>
      <x:c r="B308" s="33"/>
      <x:c r="C308" s="59"/>
      <x:c r="D308" s="52" t="str">
        <x:f>IF($B308="","",IF(OR(RIGHT(TRIM($B308),2)="P304",RIGHT(TRIM($B308),2)="P305",RIGHT(TRIM($B308),2)="P306",RIGHT(TRIM($B308),2)="P307"),"PS","GS"))</x:f>
      </x:c>
      <x:c r="E308" s="62" t="str">
        <x:f>IF($D308="","",IF($D308="PS",'Data'!$O$5,'Data'!$O$4))</x:f>
      </x:c>
      <x:c r="F308" s="53" t="str">
        <x:f>IF($B308="","",IFERROR(VLOOKUP($B308,'Data'!$A$2:$B$113,2,FALSE),""))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</x:row>
    <x:row r="309" ht="22" customHeight="1">
      <x:c r="A309" s="32"/>
      <x:c r="B309" s="33"/>
      <x:c r="C309" s="59"/>
      <x:c r="D309" s="52" t="str">
        <x:f>IF($B309="","",IF(OR(RIGHT(TRIM($B309),2)="P305",RIGHT(TRIM($B309),2)="P306",RIGHT(TRIM($B309),2)="P307",RIGHT(TRIM($B309),2)="P308"),"PS","GS"))</x:f>
      </x:c>
      <x:c r="E309" s="62" t="str">
        <x:f>IF($D309="","",IF($D309="PS",'Data'!$O$5,'Data'!$O$4))</x:f>
      </x:c>
      <x:c r="F309" s="53" t="str">
        <x:f>IF($B309="","",IFERROR(VLOOKUP($B309,'Data'!$A$2:$B$113,2,FALSE),""))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</x:row>
    <x:row r="310" ht="22" customHeight="1">
      <x:c r="A310" s="32"/>
      <x:c r="B310" s="33"/>
      <x:c r="C310" s="59"/>
      <x:c r="D310" s="52" t="str">
        <x:f>IF($B310="","",IF(OR(RIGHT(TRIM($B310),2)="P306",RIGHT(TRIM($B310),2)="P307",RIGHT(TRIM($B310),2)="P308",RIGHT(TRIM($B310),2)="P309"),"PS","GS"))</x:f>
      </x:c>
      <x:c r="E310" s="62" t="str">
        <x:f>IF($D310="","",IF($D310="PS",'Data'!$O$5,'Data'!$O$4))</x:f>
      </x:c>
      <x:c r="F310" s="53" t="str">
        <x:f>IF($B310="","",IFERROR(VLOOKUP($B310,'Data'!$A$2:$B$113,2,FALSE),""))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</x:row>
    <x:row r="311" ht="22" customHeight="1">
      <x:c r="A311" s="32"/>
      <x:c r="B311" s="33"/>
      <x:c r="C311" s="59"/>
      <x:c r="D311" s="52" t="str">
        <x:f>IF($B311="","",IF(OR(RIGHT(TRIM($B311),2)="P307",RIGHT(TRIM($B311),2)="P308",RIGHT(TRIM($B311),2)="P309",RIGHT(TRIM($B311),2)="P310"),"PS","GS"))</x:f>
      </x:c>
      <x:c r="E311" s="62" t="str">
        <x:f>IF($D311="","",IF($D311="PS",'Data'!$O$5,'Data'!$O$4))</x:f>
      </x:c>
      <x:c r="F311" s="53" t="str">
        <x:f>IF($B311="","",IFERROR(VLOOKUP($B311,'Data'!$A$2:$B$113,2,FALSE),""))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</x:row>
    <x:row r="312" ht="22" customHeight="1">
      <x:c r="A312" s="32"/>
      <x:c r="B312" s="33"/>
      <x:c r="C312" s="59"/>
      <x:c r="D312" s="52" t="str">
        <x:f>IF($B312="","",IF(OR(RIGHT(TRIM($B312),2)="P308",RIGHT(TRIM($B312),2)="P309",RIGHT(TRIM($B312),2)="P310",RIGHT(TRIM($B312),2)="P311"),"PS","GS"))</x:f>
      </x:c>
      <x:c r="E312" s="62" t="str">
        <x:f>IF($D312="","",IF($D312="PS",'Data'!$O$5,'Data'!$O$4))</x:f>
      </x:c>
      <x:c r="F312" s="53" t="str">
        <x:f>IF($B312="","",IFERROR(VLOOKUP($B312,'Data'!$A$2:$B$113,2,FALSE),""))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</x:row>
    <x:row r="313" ht="22" customHeight="1">
      <x:c r="A313" s="32"/>
      <x:c r="B313" s="33"/>
      <x:c r="C313" s="59"/>
      <x:c r="D313" s="52" t="str">
        <x:f>IF($B313="","",IF(OR(RIGHT(TRIM($B313),2)="P309",RIGHT(TRIM($B313),2)="P310",RIGHT(TRIM($B313),2)="P311",RIGHT(TRIM($B313),2)="P312"),"PS","GS"))</x:f>
      </x:c>
      <x:c r="E313" s="62" t="str">
        <x:f>IF($D313="","",IF($D313="PS",'Data'!$O$5,'Data'!$O$4))</x:f>
      </x:c>
      <x:c r="F313" s="53" t="str">
        <x:f>IF($B313="","",IFERROR(VLOOKUP($B313,'Data'!$A$2:$B$113,2,FALSE),""))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</x:row>
    <x:row r="314" ht="22" customHeight="1">
      <x:c r="A314" s="32"/>
      <x:c r="B314" s="33"/>
      <x:c r="C314" s="59"/>
      <x:c r="D314" s="52" t="str">
        <x:f>IF($B314="","",IF(OR(RIGHT(TRIM($B314),2)="P310",RIGHT(TRIM($B314),2)="P311",RIGHT(TRIM($B314),2)="P312",RIGHT(TRIM($B314),2)="P313"),"PS","GS"))</x:f>
      </x:c>
      <x:c r="E314" s="62" t="str">
        <x:f>IF($D314="","",IF($D314="PS",'Data'!$O$5,'Data'!$O$4))</x:f>
      </x:c>
      <x:c r="F314" s="53" t="str">
        <x:f>IF($B314="","",IFERROR(VLOOKUP($B314,'Data'!$A$2:$B$113,2,FALSE),""))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</x:row>
    <x:row r="315" ht="22" customHeight="1">
      <x:c r="A315" s="32"/>
      <x:c r="B315" s="33"/>
      <x:c r="C315" s="59"/>
      <x:c r="D315" s="52" t="str">
        <x:f>IF($B315="","",IF(OR(RIGHT(TRIM($B315),2)="P311",RIGHT(TRIM($B315),2)="P312",RIGHT(TRIM($B315),2)="P313",RIGHT(TRIM($B315),2)="P314"),"PS","GS"))</x:f>
      </x:c>
      <x:c r="E315" s="62" t="str">
        <x:f>IF($D315="","",IF($D315="PS",'Data'!$O$5,'Data'!$O$4))</x:f>
      </x:c>
      <x:c r="F315" s="53" t="str">
        <x:f>IF($B315="","",IFERROR(VLOOKUP($B315,'Data'!$A$2:$B$113,2,FALSE),""))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</x:row>
    <x:row r="316" ht="22" customHeight="1">
      <x:c r="A316" s="32"/>
      <x:c r="B316" s="33"/>
      <x:c r="C316" s="59"/>
      <x:c r="D316" s="52" t="str">
        <x:f>IF($B316="","",IF(OR(RIGHT(TRIM($B316),2)="P312",RIGHT(TRIM($B316),2)="P313",RIGHT(TRIM($B316),2)="P314",RIGHT(TRIM($B316),2)="P315"),"PS","GS"))</x:f>
      </x:c>
      <x:c r="E316" s="62" t="str">
        <x:f>IF($D316="","",IF($D316="PS",'Data'!$O$5,'Data'!$O$4))</x:f>
      </x:c>
      <x:c r="F316" s="53" t="str">
        <x:f>IF($B316="","",IFERROR(VLOOKUP($B316,'Data'!$A$2:$B$113,2,FALSE),""))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</x:row>
    <x:row r="317" ht="22" customHeight="1">
      <x:c r="A317" s="32"/>
      <x:c r="B317" s="33"/>
      <x:c r="C317" s="59"/>
      <x:c r="D317" s="52" t="str">
        <x:f>IF($B317="","",IF(OR(RIGHT(TRIM($B317),2)="P313",RIGHT(TRIM($B317),2)="P314",RIGHT(TRIM($B317),2)="P315",RIGHT(TRIM($B317),2)="P316"),"PS","GS"))</x:f>
      </x:c>
      <x:c r="E317" s="62" t="str">
        <x:f>IF($D317="","",IF($D317="PS",'Data'!$O$5,'Data'!$O$4))</x:f>
      </x:c>
      <x:c r="F317" s="53" t="str">
        <x:f>IF($B317="","",IFERROR(VLOOKUP($B317,'Data'!$A$2:$B$113,2,FALSE),""))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</x:row>
    <x:row r="318" ht="22" customHeight="1">
      <x:c r="A318" s="32"/>
      <x:c r="B318" s="33"/>
      <x:c r="C318" s="59"/>
      <x:c r="D318" s="52" t="str">
        <x:f>IF($B318="","",IF(OR(RIGHT(TRIM($B318),2)="P314",RIGHT(TRIM($B318),2)="P315",RIGHT(TRIM($B318),2)="P316",RIGHT(TRIM($B318),2)="P317"),"PS","GS"))</x:f>
      </x:c>
      <x:c r="E318" s="62" t="str">
        <x:f>IF($D318="","",IF($D318="PS",'Data'!$O$5,'Data'!$O$4))</x:f>
      </x:c>
      <x:c r="F318" s="53" t="str">
        <x:f>IF($B318="","",IFERROR(VLOOKUP($B318,'Data'!$A$2:$B$113,2,FALSE),""))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</x:row>
    <x:row r="319" ht="22" customHeight="1">
      <x:c r="A319" s="32"/>
      <x:c r="B319" s="33"/>
      <x:c r="C319" s="59"/>
      <x:c r="D319" s="52" t="str">
        <x:f>IF($B319="","",IF(OR(RIGHT(TRIM($B319),2)="P315",RIGHT(TRIM($B319),2)="P316",RIGHT(TRIM($B319),2)="P317",RIGHT(TRIM($B319),2)="P318"),"PS","GS"))</x:f>
      </x:c>
      <x:c r="E319" s="62" t="str">
        <x:f>IF($D319="","",IF($D319="PS",'Data'!$O$5,'Data'!$O$4))</x:f>
      </x:c>
      <x:c r="F319" s="53" t="str">
        <x:f>IF($B319="","",IFERROR(VLOOKUP($B319,'Data'!$A$2:$B$113,2,FALSE),""))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</x:row>
    <x:row r="320" ht="22" customHeight="1">
      <x:c r="A320" s="32"/>
      <x:c r="B320" s="33"/>
      <x:c r="C320" s="59"/>
      <x:c r="D320" s="52" t="str">
        <x:f>IF($B320="","",IF(OR(RIGHT(TRIM($B320),2)="P316",RIGHT(TRIM($B320),2)="P317",RIGHT(TRIM($B320),2)="P318",RIGHT(TRIM($B320),2)="P319"),"PS","GS"))</x:f>
      </x:c>
      <x:c r="E320" s="62" t="str">
        <x:f>IF($D320="","",IF($D320="PS",'Data'!$O$5,'Data'!$O$4))</x:f>
      </x:c>
      <x:c r="F320" s="53" t="str">
        <x:f>IF($B320="","",IFERROR(VLOOKUP($B320,'Data'!$A$2:$B$113,2,FALSE),""))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</x:row>
    <x:row r="321" ht="22" customHeight="1">
      <x:c r="A321" s="32"/>
      <x:c r="B321" s="33"/>
      <x:c r="C321" s="59"/>
      <x:c r="D321" s="52" t="str">
        <x:f>IF($B321="","",IF(OR(RIGHT(TRIM($B321),2)="P317",RIGHT(TRIM($B321),2)="P318",RIGHT(TRIM($B321),2)="P319",RIGHT(TRIM($B321),2)="P320"),"PS","GS"))</x:f>
      </x:c>
      <x:c r="E321" s="62" t="str">
        <x:f>IF($D321="","",IF($D321="PS",'Data'!$O$5,'Data'!$O$4))</x:f>
      </x:c>
      <x:c r="F321" s="53" t="str">
        <x:f>IF($B321="","",IFERROR(VLOOKUP($B321,'Data'!$A$2:$B$113,2,FALSE),""))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</x:row>
    <x:row r="322" ht="22" customHeight="1">
      <x:c r="A322" s="32"/>
      <x:c r="B322" s="33"/>
      <x:c r="C322" s="59"/>
      <x:c r="D322" s="52" t="str">
        <x:f>IF($B322="","",IF(OR(RIGHT(TRIM($B322),2)="P318",RIGHT(TRIM($B322),2)="P319",RIGHT(TRIM($B322),2)="P320",RIGHT(TRIM($B322),2)="P321"),"PS","GS"))</x:f>
      </x:c>
      <x:c r="E322" s="62" t="str">
        <x:f>IF($D322="","",IF($D322="PS",'Data'!$O$5,'Data'!$O$4))</x:f>
      </x:c>
      <x:c r="F322" s="53" t="str">
        <x:f>IF($B322="","",IFERROR(VLOOKUP($B322,'Data'!$A$2:$B$113,2,FALSE),""))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</x:row>
    <x:row r="323" ht="22" customHeight="1">
      <x:c r="A323" s="32"/>
      <x:c r="B323" s="33"/>
      <x:c r="C323" s="59"/>
      <x:c r="D323" s="52" t="str">
        <x:f>IF($B323="","",IF(OR(RIGHT(TRIM($B323),2)="P319",RIGHT(TRIM($B323),2)="P320",RIGHT(TRIM($B323),2)="P321",RIGHT(TRIM($B323),2)="P322"),"PS","GS"))</x:f>
      </x:c>
      <x:c r="E323" s="62" t="str">
        <x:f>IF($D323="","",IF($D323="PS",'Data'!$O$5,'Data'!$O$4))</x:f>
      </x:c>
      <x:c r="F323" s="53" t="str">
        <x:f>IF($B323="","",IFERROR(VLOOKUP($B323,'Data'!$A$2:$B$113,2,FALSE),""))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</x:row>
    <x:row r="324" ht="22" customHeight="1">
      <x:c r="A324" s="32"/>
      <x:c r="B324" s="33"/>
      <x:c r="C324" s="59"/>
      <x:c r="D324" s="52" t="str">
        <x:f>IF($B324="","",IF(OR(RIGHT(TRIM($B324),2)="P320",RIGHT(TRIM($B324),2)="P321",RIGHT(TRIM($B324),2)="P322",RIGHT(TRIM($B324),2)="P323"),"PS","GS"))</x:f>
      </x:c>
      <x:c r="E324" s="62" t="str">
        <x:f>IF($D324="","",IF($D324="PS",'Data'!$O$5,'Data'!$O$4))</x:f>
      </x:c>
      <x:c r="F324" s="53" t="str">
        <x:f>IF($B324="","",IFERROR(VLOOKUP($B324,'Data'!$A$2:$B$113,2,FALSE),""))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</x:row>
    <x:row r="325" ht="22" customHeight="1">
      <x:c r="A325" s="32"/>
      <x:c r="B325" s="33"/>
      <x:c r="C325" s="59"/>
      <x:c r="D325" s="52" t="str">
        <x:f>IF($B325="","",IF(OR(RIGHT(TRIM($B325),2)="P321",RIGHT(TRIM($B325),2)="P322",RIGHT(TRIM($B325),2)="P323",RIGHT(TRIM($B325),2)="P324"),"PS","GS"))</x:f>
      </x:c>
      <x:c r="E325" s="62" t="str">
        <x:f>IF($D325="","",IF($D325="PS",'Data'!$O$5,'Data'!$O$4))</x:f>
      </x:c>
      <x:c r="F325" s="53" t="str">
        <x:f>IF($B325="","",IFERROR(VLOOKUP($B325,'Data'!$A$2:$B$113,2,FALSE),""))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</x:row>
    <x:row r="326" ht="22" customHeight="1">
      <x:c r="A326" s="32"/>
      <x:c r="B326" s="33"/>
      <x:c r="C326" s="59"/>
      <x:c r="D326" s="52" t="str">
        <x:f>IF($B326="","",IF(OR(RIGHT(TRIM($B326),2)="P322",RIGHT(TRIM($B326),2)="P323",RIGHT(TRIM($B326),2)="P324",RIGHT(TRIM($B326),2)="P325"),"PS","GS"))</x:f>
      </x:c>
      <x:c r="E326" s="62" t="str">
        <x:f>IF($D326="","",IF($D326="PS",'Data'!$O$5,'Data'!$O$4))</x:f>
      </x:c>
      <x:c r="F326" s="53" t="str">
        <x:f>IF($B326="","",IFERROR(VLOOKUP($B326,'Data'!$A$2:$B$113,2,FALSE),""))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</x:row>
    <x:row r="327" ht="22" customHeight="1">
      <x:c r="A327" s="32"/>
      <x:c r="B327" s="33"/>
      <x:c r="C327" s="59"/>
      <x:c r="D327" s="52" t="str">
        <x:f>IF($B327="","",IF(OR(RIGHT(TRIM($B327),2)="P323",RIGHT(TRIM($B327),2)="P324",RIGHT(TRIM($B327),2)="P325",RIGHT(TRIM($B327),2)="P326"),"PS","GS"))</x:f>
      </x:c>
      <x:c r="E327" s="62" t="str">
        <x:f>IF($D327="","",IF($D327="PS",'Data'!$O$5,'Data'!$O$4))</x:f>
      </x:c>
      <x:c r="F327" s="53" t="str">
        <x:f>IF($B327="","",IFERROR(VLOOKUP($B327,'Data'!$A$2:$B$113,2,FALSE),""))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</x:row>
    <x:row r="328" ht="22" customHeight="1">
      <x:c r="A328" s="32"/>
      <x:c r="B328" s="33"/>
      <x:c r="C328" s="59"/>
      <x:c r="D328" s="52" t="str">
        <x:f>IF($B328="","",IF(OR(RIGHT(TRIM($B328),2)="P324",RIGHT(TRIM($B328),2)="P325",RIGHT(TRIM($B328),2)="P326",RIGHT(TRIM($B328),2)="P327"),"PS","GS"))</x:f>
      </x:c>
      <x:c r="E328" s="62" t="str">
        <x:f>IF($D328="","",IF($D328="PS",'Data'!$O$5,'Data'!$O$4))</x:f>
      </x:c>
      <x:c r="F328" s="53" t="str">
        <x:f>IF($B328="","",IFERROR(VLOOKUP($B328,'Data'!$A$2:$B$113,2,FALSE),""))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</x:row>
    <x:row r="329" ht="22" customHeight="1">
      <x:c r="A329" s="32"/>
      <x:c r="B329" s="33"/>
      <x:c r="C329" s="59"/>
      <x:c r="D329" s="52" t="str">
        <x:f>IF($B329="","",IF(OR(RIGHT(TRIM($B329),2)="P325",RIGHT(TRIM($B329),2)="P326",RIGHT(TRIM($B329),2)="P327",RIGHT(TRIM($B329),2)="P328"),"PS","GS"))</x:f>
      </x:c>
      <x:c r="E329" s="62" t="str">
        <x:f>IF($D329="","",IF($D329="PS",'Data'!$O$5,'Data'!$O$4))</x:f>
      </x:c>
      <x:c r="F329" s="53" t="str">
        <x:f>IF($B329="","",IFERROR(VLOOKUP($B329,'Data'!$A$2:$B$113,2,FALSE),""))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</x:row>
    <x:row r="330" ht="22" customHeight="1">
      <x:c r="A330" s="32"/>
      <x:c r="B330" s="33"/>
      <x:c r="C330" s="59"/>
      <x:c r="D330" s="52" t="str">
        <x:f>IF($B330="","",IF(OR(RIGHT(TRIM($B330),2)="P326",RIGHT(TRIM($B330),2)="P327",RIGHT(TRIM($B330),2)="P328",RIGHT(TRIM($B330),2)="P329"),"PS","GS"))</x:f>
      </x:c>
      <x:c r="E330" s="62" t="str">
        <x:f>IF($D330="","",IF($D330="PS",'Data'!$O$5,'Data'!$O$4))</x:f>
      </x:c>
      <x:c r="F330" s="53" t="str">
        <x:f>IF($B330="","",IFERROR(VLOOKUP($B330,'Data'!$A$2:$B$113,2,FALSE),""))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</x:row>
    <x:row r="331" ht="22" customHeight="1">
      <x:c r="A331" s="32"/>
      <x:c r="B331" s="33"/>
      <x:c r="C331" s="59"/>
      <x:c r="D331" s="52" t="str">
        <x:f>IF($B331="","",IF(OR(RIGHT(TRIM($B331),2)="P327",RIGHT(TRIM($B331),2)="P328",RIGHT(TRIM($B331),2)="P329",RIGHT(TRIM($B331),2)="P330"),"PS","GS"))</x:f>
      </x:c>
      <x:c r="E331" s="62" t="str">
        <x:f>IF($D331="","",IF($D331="PS",'Data'!$O$5,'Data'!$O$4))</x:f>
      </x:c>
      <x:c r="F331" s="53" t="str">
        <x:f>IF($B331="","",IFERROR(VLOOKUP($B331,'Data'!$A$2:$B$113,2,FALSE),""))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</x:row>
    <x:row r="332" ht="22" customHeight="1">
      <x:c r="A332" s="32"/>
      <x:c r="B332" s="33"/>
      <x:c r="C332" s="59"/>
      <x:c r="D332" s="52" t="str">
        <x:f>IF($B332="","",IF(OR(RIGHT(TRIM($B332),2)="P328",RIGHT(TRIM($B332),2)="P329",RIGHT(TRIM($B332),2)="P330",RIGHT(TRIM($B332),2)="P331"),"PS","GS"))</x:f>
      </x:c>
      <x:c r="E332" s="62" t="str">
        <x:f>IF($D332="","",IF($D332="PS",'Data'!$O$5,'Data'!$O$4))</x:f>
      </x:c>
      <x:c r="F332" s="53" t="str">
        <x:f>IF($B332="","",IFERROR(VLOOKUP($B332,'Data'!$A$2:$B$113,2,FALSE),""))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</x:row>
    <x:row r="333" ht="22" customHeight="1">
      <x:c r="A333" s="32"/>
      <x:c r="B333" s="33"/>
      <x:c r="C333" s="59"/>
      <x:c r="D333" s="52" t="str">
        <x:f>IF($B333="","",IF(OR(RIGHT(TRIM($B333),2)="P329",RIGHT(TRIM($B333),2)="P330",RIGHT(TRIM($B333),2)="P331",RIGHT(TRIM($B333),2)="P332"),"PS","GS"))</x:f>
      </x:c>
      <x:c r="E333" s="62" t="str">
        <x:f>IF($D333="","",IF($D333="PS",'Data'!$O$5,'Data'!$O$4))</x:f>
      </x:c>
      <x:c r="F333" s="53" t="str">
        <x:f>IF($B333="","",IFERROR(VLOOKUP($B333,'Data'!$A$2:$B$113,2,FALSE),""))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</x:row>
    <x:row r="334" ht="22" customHeight="1">
      <x:c r="A334" s="32"/>
      <x:c r="B334" s="33"/>
      <x:c r="C334" s="59"/>
      <x:c r="D334" s="52" t="str">
        <x:f>IF($B334="","",IF(OR(RIGHT(TRIM($B334),2)="P330",RIGHT(TRIM($B334),2)="P331",RIGHT(TRIM($B334),2)="P332",RIGHT(TRIM($B334),2)="P333"),"PS","GS"))</x:f>
      </x:c>
      <x:c r="E334" s="62" t="str">
        <x:f>IF($D334="","",IF($D334="PS",'Data'!$O$5,'Data'!$O$4))</x:f>
      </x:c>
      <x:c r="F334" s="53" t="str">
        <x:f>IF($B334="","",IFERROR(VLOOKUP($B334,'Data'!$A$2:$B$113,2,FALSE),""))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</x:row>
    <x:row r="335" ht="22" customHeight="1">
      <x:c r="A335" s="32"/>
      <x:c r="B335" s="33"/>
      <x:c r="C335" s="59"/>
      <x:c r="D335" s="52" t="str">
        <x:f>IF($B335="","",IF(OR(RIGHT(TRIM($B335),2)="P331",RIGHT(TRIM($B335),2)="P332",RIGHT(TRIM($B335),2)="P333",RIGHT(TRIM($B335),2)="P334"),"PS","GS"))</x:f>
      </x:c>
      <x:c r="E335" s="62" t="str">
        <x:f>IF($D335="","",IF($D335="PS",'Data'!$O$5,'Data'!$O$4))</x:f>
      </x:c>
      <x:c r="F335" s="53" t="str">
        <x:f>IF($B335="","",IFERROR(VLOOKUP($B335,'Data'!$A$2:$B$113,2,FALSE),""))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</x:row>
    <x:row r="336" ht="22" customHeight="1">
      <x:c r="A336" s="32"/>
      <x:c r="B336" s="33"/>
      <x:c r="C336" s="59"/>
      <x:c r="D336" s="52" t="str">
        <x:f>IF($B336="","",IF(OR(RIGHT(TRIM($B336),2)="P332",RIGHT(TRIM($B336),2)="P333",RIGHT(TRIM($B336),2)="P334",RIGHT(TRIM($B336),2)="P335"),"PS","GS"))</x:f>
      </x:c>
      <x:c r="E336" s="62" t="str">
        <x:f>IF($D336="","",IF($D336="PS",'Data'!$O$5,'Data'!$O$4))</x:f>
      </x:c>
      <x:c r="F336" s="53" t="str">
        <x:f>IF($B336="","",IFERROR(VLOOKUP($B336,'Data'!$A$2:$B$113,2,FALSE),""))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</x:row>
    <x:row r="337" ht="22" customHeight="1">
      <x:c r="A337" s="32"/>
      <x:c r="B337" s="33"/>
      <x:c r="C337" s="59"/>
      <x:c r="D337" s="52" t="str">
        <x:f>IF($B337="","",IF(OR(RIGHT(TRIM($B337),2)="P333",RIGHT(TRIM($B337),2)="P334",RIGHT(TRIM($B337),2)="P335",RIGHT(TRIM($B337),2)="P336"),"PS","GS"))</x:f>
      </x:c>
      <x:c r="E337" s="62" t="str">
        <x:f>IF($D337="","",IF($D337="PS",'Data'!$O$5,'Data'!$O$4))</x:f>
      </x:c>
      <x:c r="F337" s="53" t="str">
        <x:f>IF($B337="","",IFERROR(VLOOKUP($B337,'Data'!$A$2:$B$113,2,FALSE),""))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</x:row>
    <x:row r="338" ht="22" customHeight="1">
      <x:c r="A338" s="32"/>
      <x:c r="B338" s="33"/>
      <x:c r="C338" s="59"/>
      <x:c r="D338" s="52" t="str">
        <x:f>IF($B338="","",IF(OR(RIGHT(TRIM($B338),2)="P334",RIGHT(TRIM($B338),2)="P335",RIGHT(TRIM($B338),2)="P336",RIGHT(TRIM($B338),2)="P337"),"PS","GS"))</x:f>
      </x:c>
      <x:c r="E338" s="62" t="str">
        <x:f>IF($D338="","",IF($D338="PS",'Data'!$O$5,'Data'!$O$4))</x:f>
      </x:c>
      <x:c r="F338" s="53" t="str">
        <x:f>IF($B338="","",IFERROR(VLOOKUP($B338,'Data'!$A$2:$B$113,2,FALSE),""))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</x:row>
    <x:row r="339" ht="22" customHeight="1">
      <x:c r="A339" s="32"/>
      <x:c r="B339" s="33"/>
      <x:c r="C339" s="59"/>
      <x:c r="D339" s="52" t="str">
        <x:f>IF($B339="","",IF(OR(RIGHT(TRIM($B339),2)="P335",RIGHT(TRIM($B339),2)="P336",RIGHT(TRIM($B339),2)="P337",RIGHT(TRIM($B339),2)="P338"),"PS","GS"))</x:f>
      </x:c>
      <x:c r="E339" s="62" t="str">
        <x:f>IF($D339="","",IF($D339="PS",'Data'!$O$5,'Data'!$O$4))</x:f>
      </x:c>
      <x:c r="F339" s="53" t="str">
        <x:f>IF($B339="","",IFERROR(VLOOKUP($B339,'Data'!$A$2:$B$113,2,FALSE),""))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</x:row>
    <x:row r="340" ht="22" customHeight="1">
      <x:c r="A340" s="32"/>
      <x:c r="B340" s="33"/>
      <x:c r="C340" s="59"/>
      <x:c r="D340" s="52" t="str">
        <x:f>IF($B340="","",IF(OR(RIGHT(TRIM($B340),2)="P336",RIGHT(TRIM($B340),2)="P337",RIGHT(TRIM($B340),2)="P338",RIGHT(TRIM($B340),2)="P339"),"PS","GS"))</x:f>
      </x:c>
      <x:c r="E340" s="62" t="str">
        <x:f>IF($D340="","",IF($D340="PS",'Data'!$O$5,'Data'!$O$4))</x:f>
      </x:c>
      <x:c r="F340" s="53" t="str">
        <x:f>IF($B340="","",IFERROR(VLOOKUP($B340,'Data'!$A$2:$B$113,2,FALSE),""))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</x:row>
    <x:row r="341" ht="22" customHeight="1">
      <x:c r="A341" s="32"/>
      <x:c r="B341" s="33"/>
      <x:c r="C341" s="59"/>
      <x:c r="D341" s="52" t="str">
        <x:f>IF($B341="","",IF(OR(RIGHT(TRIM($B341),2)="P337",RIGHT(TRIM($B341),2)="P338",RIGHT(TRIM($B341),2)="P339",RIGHT(TRIM($B341),2)="P340"),"PS","GS"))</x:f>
      </x:c>
      <x:c r="E341" s="62" t="str">
        <x:f>IF($D341="","",IF($D341="PS",'Data'!$O$5,'Data'!$O$4))</x:f>
      </x:c>
      <x:c r="F341" s="53" t="str">
        <x:f>IF($B341="","",IFERROR(VLOOKUP($B341,'Data'!$A$2:$B$113,2,FALSE),""))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</x:row>
    <x:row r="342" ht="22" customHeight="1">
      <x:c r="A342" s="32"/>
      <x:c r="B342" s="33"/>
      <x:c r="C342" s="59"/>
      <x:c r="D342" s="52" t="str">
        <x:f>IF($B342="","",IF(OR(RIGHT(TRIM($B342),2)="P338",RIGHT(TRIM($B342),2)="P339",RIGHT(TRIM($B342),2)="P340",RIGHT(TRIM($B342),2)="P341"),"PS","GS"))</x:f>
      </x:c>
      <x:c r="E342" s="62" t="str">
        <x:f>IF($D342="","",IF($D342="PS",'Data'!$O$5,'Data'!$O$4))</x:f>
      </x:c>
      <x:c r="F342" s="53" t="str">
        <x:f>IF($B342="","",IFERROR(VLOOKUP($B342,'Data'!$A$2:$B$113,2,FALSE),""))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</x:row>
    <x:row r="343" ht="22" customHeight="1">
      <x:c r="A343" s="32"/>
      <x:c r="B343" s="33"/>
      <x:c r="C343" s="59"/>
      <x:c r="D343" s="52" t="str">
        <x:f>IF($B343="","",IF(OR(RIGHT(TRIM($B343),2)="P339",RIGHT(TRIM($B343),2)="P340",RIGHT(TRIM($B343),2)="P341",RIGHT(TRIM($B343),2)="P342"),"PS","GS"))</x:f>
      </x:c>
      <x:c r="E343" s="62" t="str">
        <x:f>IF($D343="","",IF($D343="PS",'Data'!$O$5,'Data'!$O$4))</x:f>
      </x:c>
      <x:c r="F343" s="53" t="str">
        <x:f>IF($B343="","",IFERROR(VLOOKUP($B343,'Data'!$A$2:$B$113,2,FALSE),""))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</x:row>
    <x:row r="344" ht="22" customHeight="1">
      <x:c r="A344" s="32"/>
      <x:c r="B344" s="33"/>
      <x:c r="C344" s="59"/>
      <x:c r="D344" s="52" t="str">
        <x:f>IF($B344="","",IF(OR(RIGHT(TRIM($B344),2)="P340",RIGHT(TRIM($B344),2)="P341",RIGHT(TRIM($B344),2)="P342",RIGHT(TRIM($B344),2)="P343"),"PS","GS"))</x:f>
      </x:c>
      <x:c r="E344" s="62" t="str">
        <x:f>IF($D344="","",IF($D344="PS",'Data'!$O$5,'Data'!$O$4))</x:f>
      </x:c>
      <x:c r="F344" s="53" t="str">
        <x:f>IF($B344="","",IFERROR(VLOOKUP($B344,'Data'!$A$2:$B$113,2,FALSE),""))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</x:row>
    <x:row r="345" ht="22" customHeight="1">
      <x:c r="A345" s="32"/>
      <x:c r="B345" s="33"/>
      <x:c r="C345" s="59"/>
      <x:c r="D345" s="52" t="str">
        <x:f>IF($B345="","",IF(OR(RIGHT(TRIM($B345),2)="P341",RIGHT(TRIM($B345),2)="P342",RIGHT(TRIM($B345),2)="P343",RIGHT(TRIM($B345),2)="P344"),"PS","GS"))</x:f>
      </x:c>
      <x:c r="E345" s="62" t="str">
        <x:f>IF($D345="","",IF($D345="PS",'Data'!$O$5,'Data'!$O$4))</x:f>
      </x:c>
      <x:c r="F345" s="53" t="str">
        <x:f>IF($B345="","",IFERROR(VLOOKUP($B345,'Data'!$A$2:$B$113,2,FALSE),""))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</x:row>
    <x:row r="346" ht="22" customHeight="1">
      <x:c r="A346" s="32"/>
      <x:c r="B346" s="33"/>
      <x:c r="C346" s="59"/>
      <x:c r="D346" s="52" t="str">
        <x:f>IF($B346="","",IF(OR(RIGHT(TRIM($B346),2)="P342",RIGHT(TRIM($B346),2)="P343",RIGHT(TRIM($B346),2)="P344",RIGHT(TRIM($B346),2)="P345"),"PS","GS"))</x:f>
      </x:c>
      <x:c r="E346" s="62" t="str">
        <x:f>IF($D346="","",IF($D346="PS",'Data'!$O$5,'Data'!$O$4))</x:f>
      </x:c>
      <x:c r="F346" s="53" t="str">
        <x:f>IF($B346="","",IFERROR(VLOOKUP($B346,'Data'!$A$2:$B$113,2,FALSE),""))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</x:row>
    <x:row r="347" ht="22" customHeight="1">
      <x:c r="A347" s="32"/>
      <x:c r="B347" s="33"/>
      <x:c r="C347" s="59"/>
      <x:c r="D347" s="52" t="str">
        <x:f>IF($B347="","",IF(OR(RIGHT(TRIM($B347),2)="P343",RIGHT(TRIM($B347),2)="P344",RIGHT(TRIM($B347),2)="P345",RIGHT(TRIM($B347),2)="P346"),"PS","GS"))</x:f>
      </x:c>
      <x:c r="E347" s="62" t="str">
        <x:f>IF($D347="","",IF($D347="PS",'Data'!$O$5,'Data'!$O$4))</x:f>
      </x:c>
      <x:c r="F347" s="53" t="str">
        <x:f>IF($B347="","",IFERROR(VLOOKUP($B347,'Data'!$A$2:$B$113,2,FALSE),""))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</x:row>
    <x:row r="348" ht="22" customHeight="1">
      <x:c r="A348" s="32"/>
      <x:c r="B348" s="33"/>
      <x:c r="C348" s="59"/>
      <x:c r="D348" s="52" t="str">
        <x:f>IF($B348="","",IF(OR(RIGHT(TRIM($B348),2)="P344",RIGHT(TRIM($B348),2)="P345",RIGHT(TRIM($B348),2)="P346",RIGHT(TRIM($B348),2)="P347"),"PS","GS"))</x:f>
      </x:c>
      <x:c r="E348" s="62" t="str">
        <x:f>IF($D348="","",IF($D348="PS",'Data'!$O$5,'Data'!$O$4))</x:f>
      </x:c>
      <x:c r="F348" s="53" t="str">
        <x:f>IF($B348="","",IFERROR(VLOOKUP($B348,'Data'!$A$2:$B$113,2,FALSE),""))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</x:row>
    <x:row r="349" ht="22" customHeight="1">
      <x:c r="A349" s="32"/>
      <x:c r="B349" s="33"/>
      <x:c r="C349" s="59"/>
      <x:c r="D349" s="52" t="str">
        <x:f>IF($B349="","",IF(OR(RIGHT(TRIM($B349),2)="P345",RIGHT(TRIM($B349),2)="P346",RIGHT(TRIM($B349),2)="P347",RIGHT(TRIM($B349),2)="P348"),"PS","GS"))</x:f>
      </x:c>
      <x:c r="E349" s="62" t="str">
        <x:f>IF($D349="","",IF($D349="PS",'Data'!$O$5,'Data'!$O$4))</x:f>
      </x:c>
      <x:c r="F349" s="53" t="str">
        <x:f>IF($B349="","",IFERROR(VLOOKUP($B349,'Data'!$A$2:$B$113,2,FALSE),""))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</x:row>
    <x:row r="350" ht="22" customHeight="1">
      <x:c r="A350" s="32"/>
      <x:c r="B350" s="33"/>
      <x:c r="C350" s="59"/>
      <x:c r="D350" s="52" t="str">
        <x:f>IF($B350="","",IF(OR(RIGHT(TRIM($B350),2)="P346",RIGHT(TRIM($B350),2)="P347",RIGHT(TRIM($B350),2)="P348",RIGHT(TRIM($B350),2)="P349"),"PS","GS"))</x:f>
      </x:c>
      <x:c r="E350" s="62" t="str">
        <x:f>IF($D350="","",IF($D350="PS",'Data'!$O$5,'Data'!$O$4))</x:f>
      </x:c>
      <x:c r="F350" s="53" t="str">
        <x:f>IF($B350="","",IFERROR(VLOOKUP($B350,'Data'!$A$2:$B$113,2,FALSE),""))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</x:row>
    <x:row r="351" ht="22" customHeight="1">
      <x:c r="A351" s="32"/>
      <x:c r="B351" s="33"/>
      <x:c r="C351" s="59"/>
      <x:c r="D351" s="52" t="str">
        <x:f>IF($B351="","",IF(OR(RIGHT(TRIM($B351),2)="P347",RIGHT(TRIM($B351),2)="P348",RIGHT(TRIM($B351),2)="P349",RIGHT(TRIM($B351),2)="P350"),"PS","GS"))</x:f>
      </x:c>
      <x:c r="E351" s="62" t="str">
        <x:f>IF($D351="","",IF($D351="PS",'Data'!$O$5,'Data'!$O$4))</x:f>
      </x:c>
      <x:c r="F351" s="53" t="str">
        <x:f>IF($B351="","",IFERROR(VLOOKUP($B351,'Data'!$A$2:$B$113,2,FALSE),""))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</x:row>
    <x:row r="352" ht="22" customHeight="1">
      <x:c r="A352" s="32"/>
      <x:c r="B352" s="33"/>
      <x:c r="C352" s="59"/>
      <x:c r="D352" s="52" t="str">
        <x:f>IF($B352="","",IF(OR(RIGHT(TRIM($B352),2)="P348",RIGHT(TRIM($B352),2)="P349",RIGHT(TRIM($B352),2)="P350",RIGHT(TRIM($B352),2)="P351"),"PS","GS"))</x:f>
      </x:c>
      <x:c r="E352" s="62" t="str">
        <x:f>IF($D352="","",IF($D352="PS",'Data'!$O$5,'Data'!$O$4))</x:f>
      </x:c>
      <x:c r="F352" s="53" t="str">
        <x:f>IF($B352="","",IFERROR(VLOOKUP($B352,'Data'!$A$2:$B$113,2,FALSE),""))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</x:row>
    <x:row r="353" ht="22" customHeight="1">
      <x:c r="A353" s="32"/>
      <x:c r="B353" s="33"/>
      <x:c r="C353" s="59"/>
      <x:c r="D353" s="52" t="str">
        <x:f>IF($B353="","",IF(OR(RIGHT(TRIM($B353),2)="P349",RIGHT(TRIM($B353),2)="P350",RIGHT(TRIM($B353),2)="P351",RIGHT(TRIM($B353),2)="P352"),"PS","GS"))</x:f>
      </x:c>
      <x:c r="E353" s="62" t="str">
        <x:f>IF($D353="","",IF($D353="PS",'Data'!$O$5,'Data'!$O$4))</x:f>
      </x:c>
      <x:c r="F353" s="53" t="str">
        <x:f>IF($B353="","",IFERROR(VLOOKUP($B353,'Data'!$A$2:$B$113,2,FALSE),""))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</x:row>
    <x:row r="354" ht="22" customHeight="1">
      <x:c r="A354" s="35"/>
      <x:c r="B354" s="36"/>
      <x:c r="C354" s="60"/>
      <x:c r="D354" s="55" t="str">
        <x:f>IF($B354="","",IF(OR(RIGHT(TRIM($B354),2)="P350",RIGHT(TRIM($B354),2)="P351",RIGHT(TRIM($B354),2)="P352",RIGHT(TRIM($B354),2)="P353"),"PS","GS"))</x:f>
      </x:c>
      <x:c r="E354" s="63" t="str">
        <x:f>IF($D354="","",IF($D354="PS",'Data'!$O$5,'Data'!$O$4))</x:f>
      </x:c>
      <x:c r="F354" s="56" t="str">
        <x:f>IF($B354="","",IFERROR(VLOOKUP($B354,'Data'!$A$2:$B$113,2,FALSE),""))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sqref="B5:B354">
      <x:formula1>'Data'!$A$2:$A$113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c3a15225444d9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– ll - Production &amp; Operations Support (T): Industrial – O2 (Mid)</x:v>
      </x:c>
      <x:c r="B9" s="91" t="str">
        <x:v>C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</x:row>
    <x:row r="16">
      <x:c r="A16" s="91" t="str">
        <x:v>Chemical Engineer - III - Engineering (P &amp; O Support / Professional) - P3</x:v>
      </x:c>
      <x:c r="B16" s="91" t="str">
        <x:v>J</x:v>
      </x:c>
    </x:row>
    <x:row r="17">
      <x:c r="A17" s="91" t="str">
        <x:v>Civil Engineer - II - Engineering (P &amp; O Support / Professional) - P2</x:v>
      </x:c>
      <x:c r="B17" s="91" t="str">
        <x:v>H</x:v>
      </x:c>
    </x:row>
    <x:row r="18">
      <x:c r="A18" s="91" t="str">
        <x:v>Civil Engineer - III - Engineering (P &amp; O Support / Professional) - P3</x:v>
      </x:c>
      <x:c r="B18" s="91" t="str">
        <x:v>J</x:v>
      </x:c>
    </x:row>
    <x:row r="19">
      <x:c r="A19" s="91" t="str">
        <x:v>Compliance Specialist - I - Administrative (B Support / Professional) - P1</x:v>
      </x:c>
      <x:c r="B19" s="91" t="str">
        <x:v>F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</x:row>
    <x:row r="21">
      <x:c r="A21" s="91" t="str">
        <x:v>Data Entry Clerk - III - Business Support (A) Admin/Finance/HR - B3</x:v>
      </x:c>
      <x:c r="B21" s="91" t="str">
        <x:v>D</x:v>
      </x:c>
    </x:row>
    <x:row r="22">
      <x:c r="A22" s="91" t="str">
        <x:v>Documentation Specialist - I - Administrative (B Support / Professional) - P1</x:v>
      </x:c>
      <x:c r="B22" s="91" t="str">
        <x:v>F</x:v>
      </x:c>
    </x:row>
    <x:row r="23">
      <x:c r="A23" s="91" t="str">
        <x:v>Documentation Specialist - III - Administrative (B Support / Professional) - B3</x:v>
      </x:c>
      <x:c r="B23" s="91" t="str">
        <x:v>D</x:v>
      </x:c>
    </x:row>
    <x:row r="24">
      <x:c r="A24" s="91" t="str">
        <x:v>Electrical Engineer - I - Engineering (P &amp; O Support / Professional) - P1</x:v>
      </x:c>
      <x:c r="B24" s="91" t="str">
        <x:v>F</x:v>
      </x:c>
    </x:row>
    <x:row r="25">
      <x:c r="A25" s="91" t="str">
        <x:v>Electrical Engineer - III - Engineering (P &amp; O Support / Professional) - P3</x:v>
      </x:c>
      <x:c r="B25" s="91" t="str">
        <x:v>J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</x:row>
    <x:row r="27">
      <x:c r="A27" s="91" t="str">
        <x:v>Executive Assistant - II - Business Support (A) Admin/Finance/HR - B2</x:v>
      </x:c>
      <x:c r="B27" s="91" t="str">
        <x:v>C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</x:row>
    <x:row r="31">
      <x:c r="A31" s="91" t="str">
        <x:v>HR Analyst - I - Human Resources (B Support / Professional) - P1</x:v>
      </x:c>
      <x:c r="B31" s="91" t="str">
        <x:v>F</x:v>
      </x:c>
    </x:row>
    <x:row r="32">
      <x:c r="A32" s="91" t="str">
        <x:v>HR Analyst - II - Human Resources (B Support / Professional) - P2</x:v>
      </x:c>
      <x:c r="B32" s="91" t="str">
        <x:v>H</x:v>
      </x:c>
    </x:row>
    <x:row r="33">
      <x:c r="A33" s="91" t="str">
        <x:v>Industrial Hygienist - I - Environment Health &amp; Safety P&amp;O Support / Professional - P1</x:v>
      </x:c>
      <x:c r="B33" s="91" t="str">
        <x:v>G</x:v>
      </x:c>
    </x:row>
    <x:row r="34">
      <x:c r="A34" s="91" t="str">
        <x:v>Industrial Hygienist - II - Environment Health &amp; Safety P&amp;O Support / Professional - P2</x:v>
      </x:c>
      <x:c r="B34" s="91" t="str">
        <x:v>H</x:v>
      </x:c>
    </x:row>
    <x:row r="35">
      <x:c r="A35" s="91" t="str">
        <x:v>Inspector Operator - III - Industrial (P &amp; O Support / Professional) - O3</x:v>
      </x:c>
      <x:c r="B35" s="91" t="str">
        <x:v>E</x:v>
      </x:c>
    </x:row>
    <x:row r="36">
      <x:c r="A36" s="91" t="str">
        <x:v>Lab Assistant - III - Business Support (T) Science/Medical/Clinical - B3</x:v>
      </x:c>
      <x:c r="B36" s="91" t="str">
        <x:v>D</x:v>
      </x:c>
    </x:row>
    <x:row r="37">
      <x:c r="A37" s="91" t="str">
        <x:v>Lab Technician - Animal - II - Production &amp; Operations Support (T) Science/Medical/Clinical - O2 (Mid)</x:v>
      </x:c>
      <x:c r="B37" s="91" t="str">
        <x:v>C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</x:row>
    <x:row r="42">
      <x:c r="A42" s="91" t="str">
        <x:v>Maintenance Technician - II - Production &amp; Operations Support (T): Industrial O2 High – PS</x:v>
      </x:c>
      <x:c r="B42" s="91" t="str">
        <x:v>D</x:v>
      </x:c>
    </x:row>
    <x:row r="43">
      <x:c r="A43" s="91" t="str">
        <x:v>Maintenance Technician - II - Production &amp; Operations Support (T): Industrial O3 – PS</x:v>
      </x:c>
      <x:c r="B43" s="91" t="str">
        <x:v>E</x:v>
      </x:c>
    </x:row>
    <x:row r="44">
      <x:c r="A44" s="91" t="str">
        <x:v>Maintenance Technician - II - Production &amp; Operations Support (T): Industrial O4 – PS</x:v>
      </x:c>
      <x:c r="B44" s="91" t="str">
        <x:v>F</x:v>
      </x:c>
    </x:row>
    <x:row r="45">
      <x:c r="A45" s="91" t="str">
        <x:v>Maintenance Technician - IV - Production &amp; Operations Support (T): Industrial - O4</x:v>
      </x:c>
      <x:c r="B45" s="91" t="str">
        <x:v>F</x:v>
      </x:c>
    </x:row>
    <x:row r="46">
      <x:c r="A46" s="91" t="str">
        <x:v>Marketing Research Specialist - II - Creative (B Support / Professional) - P2</x:v>
      </x:c>
      <x:c r="B46" s="91" t="str">
        <x:v>H</x:v>
      </x:c>
    </x:row>
    <x:row r="47">
      <x:c r="A47" s="91" t="str">
        <x:v>Mechanical Engineer - II - Engineering (P &amp; O Support / Professional) - P2</x:v>
      </x:c>
      <x:c r="B47" s="91" t="str">
        <x:v>H</x:v>
      </x:c>
    </x:row>
    <x:row r="48">
      <x:c r="A48" s="91" t="str">
        <x:v>Mechanical Engineer - III - Engineering (P &amp; O Support / Professional) - P3</x:v>
      </x:c>
      <x:c r="B48" s="91" t="str">
        <x:v>J</x:v>
      </x:c>
    </x:row>
    <x:row r="49">
      <x:c r="A49" s="91" t="str">
        <x:v>Operations Manager - I - Industrial (P &amp; O Support / Professional) - P1</x:v>
      </x:c>
      <x:c r="B49" s="91" t="str">
        <x:v>G</x:v>
      </x:c>
    </x:row>
    <x:row r="50">
      <x:c r="A50" s="91" t="str">
        <x:v>Operations Manager - II - Industrial (P &amp; O Support / Professional) - P2</x:v>
      </x:c>
      <x:c r="B50" s="91" t="str">
        <x:v>H</x:v>
      </x:c>
    </x:row>
    <x:row r="51">
      <x:c r="A51" s="91" t="str">
        <x:v>Operations Manager - IV - Industrial (P &amp; O Support / Professional) - P4</x:v>
      </x:c>
      <x:c r="B51" s="91" t="str">
        <x:v>L</x:v>
      </x:c>
    </x:row>
    <x:row r="52">
      <x:c r="A52" s="91" t="str">
        <x:v>Packaging Engineer - II - Industrial (P &amp; O Support / Professional) - P2</x:v>
      </x:c>
      <x:c r="B52" s="91" t="str">
        <x:v>H</x:v>
      </x:c>
    </x:row>
    <x:row r="53">
      <x:c r="A53" s="91" t="str">
        <x:v>Packaging Operator - I - Production &amp; Operations Support (T): Industrial - O1</x:v>
      </x:c>
      <x:c r="B53" s="91" t="str">
        <x:v>B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</x:row>
    <x:row r="56">
      <x:c r="A56" s="91" t="str">
        <x:v>Packaging Operator - III - Production &amp; Operations Support (T): Industrial - O3</x:v>
      </x:c>
      <x:c r="B56" s="91" t="str">
        <x:v>E</x:v>
      </x:c>
    </x:row>
    <x:row r="57">
      <x:c r="A57" s="91" t="str">
        <x:v>Pharmaceutical Specialist - I - Engineering (P &amp; O Support / Professional) - P1</x:v>
      </x:c>
      <x:c r="B57" s="91" t="str">
        <x:v>F</x:v>
      </x:c>
    </x:row>
    <x:row r="58">
      <x:c r="A58" s="91" t="str">
        <x:v>Pharmaceutical Specialist - III - Engineering (P &amp; O Support / Professional) - P3</x:v>
      </x:c>
      <x:c r="B58" s="91" t="str">
        <x:v>J</x:v>
      </x:c>
    </x:row>
    <x:row r="59">
      <x:c r="A59" s="91" t="str">
        <x:v>Process Engineer - II - Engineering (P &amp; O Support / Professional) - P2</x:v>
      </x:c>
      <x:c r="B59" s="91" t="str">
        <x:v>H</x:v>
      </x:c>
    </x:row>
    <x:row r="60">
      <x:c r="A60" s="91" t="str">
        <x:v>Process Engineer - III - Engineering (P &amp; O Support / Professional) - P3</x:v>
      </x:c>
      <x:c r="B60" s="91" t="str">
        <x:v>J</x:v>
      </x:c>
    </x:row>
    <x:row r="61">
      <x:c r="A61" s="91" t="str">
        <x:v>Process Engineer - IV - Engineering (P &amp; O Support / Professional) - P4</x:v>
      </x:c>
      <x:c r="B61" s="91" t="str">
        <x:v>L</x:v>
      </x:c>
    </x:row>
    <x:row r="62">
      <x:c r="A62" s="91" t="str">
        <x:v>Procurement Specialist - III - Administrative (B Support / Professional) - P3</x:v>
      </x:c>
      <x:c r="B62" s="91" t="str">
        <x:v>J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</x:row>
    <x:row r="65">
      <x:c r="A65" s="91" t="str">
        <x:v>Production Tech - II - Production &amp; Operations Support (T): Industrial - O2 (High)</x:v>
      </x:c>
      <x:c r="B65" s="91" t="str">
        <x:v>D</x:v>
      </x:c>
    </x:row>
    <x:row r="66">
      <x:c r="A66" s="91" t="str">
        <x:v>Production Tech - II - Production &amp; Operations Support (T): Industrial - O2 (Mid)</x:v>
      </x:c>
      <x:c r="B66" s="91" t="str">
        <x:v>C</x:v>
      </x:c>
    </x:row>
    <x:row r="67">
      <x:c r="A67" s="91" t="str">
        <x:v>Project Coordinator - I - Administrative (B Support / Professional) - P1</x:v>
      </x:c>
      <x:c r="B67" s="91" t="str">
        <x:v>F</x:v>
      </x:c>
    </x:row>
    <x:row r="68">
      <x:c r="A68" s="91" t="str">
        <x:v>Project Coordinator - II - Administrative (B Support / Professional) - P2</x:v>
      </x:c>
      <x:c r="B68" s="91" t="str">
        <x:v>H</x:v>
      </x:c>
    </x:row>
    <x:row r="69">
      <x:c r="A69" s="91" t="str">
        <x:v>Project Manager - II - Engineering (P &amp; O Support / Professional) - P2</x:v>
      </x:c>
      <x:c r="B69" s="91" t="str">
        <x:v>H</x:v>
      </x:c>
    </x:row>
    <x:row r="70">
      <x:c r="A70" s="91" t="str">
        <x:v>Project Manager - III - Engineering (P &amp; O Support / Professional) - P3</x:v>
      </x:c>
      <x:c r="B70" s="91" t="str">
        <x:v>J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</x:row>
    <x:row r="74">
      <x:c r="A74" s="91" t="str">
        <x:v>Project Manager - IV - Engineering (P &amp; O Support / Professional) - P4</x:v>
      </x:c>
      <x:c r="B74" s="91" t="str">
        <x:v>L</x:v>
      </x:c>
    </x:row>
    <x:row r="75">
      <x:c r="A75" s="91" t="str">
        <x:v>Project Manager - Non IT - II - Administrative (B Support / Professional) - P2</x:v>
      </x:c>
      <x:c r="B75" s="91" t="str">
        <x:v>H</x:v>
      </x:c>
    </x:row>
    <x:row r="76">
      <x:c r="A76" s="91" t="str">
        <x:v>Project Manager - Non IT - III - Administrative (B Support / Professional) - P3</x:v>
      </x:c>
      <x:c r="B76" s="91" t="str">
        <x:v>J</x:v>
      </x:c>
    </x:row>
    <x:row r="77">
      <x:c r="A77" s="91" t="str">
        <x:v>Project Manager - Non IT - IV - Administrative (B Support / Professional) - P4</x:v>
      </x:c>
      <x:c r="B77" s="91" t="str">
        <x:v>L</x:v>
      </x:c>
    </x:row>
    <x:row r="78">
      <x:c r="A78" s="91" t="str">
        <x:v>Qualified Person - III - Administrative (B Support / Professional) - P3</x:v>
      </x:c>
      <x:c r="B78" s="91" t="str">
        <x:v>J</x:v>
      </x:c>
    </x:row>
    <x:row r="79">
      <x:c r="A79" s="91" t="str">
        <x:v>Quality Assurance - Packaging - I - Industrial (P &amp; O Support / Professional) - P1</x:v>
      </x:c>
      <x:c r="B79" s="91" t="str">
        <x:v>G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</x:row>
    <x:row r="82">
      <x:c r="A82" s="91" t="str">
        <x:v>Quality Auditor - I - Administrative (B Support / Professional) - P1</x:v>
      </x:c>
      <x:c r="B82" s="91" t="str">
        <x:v>F</x:v>
      </x:c>
    </x:row>
    <x:row r="83">
      <x:c r="A83" s="91" t="str">
        <x:v>Quality Auditor - II - Administrative (B Support / Professional) - P2</x:v>
      </x:c>
      <x:c r="B83" s="91" t="str">
        <x:v>H</x:v>
      </x:c>
    </x:row>
    <x:row r="84">
      <x:c r="A84" s="91" t="str">
        <x:v>Quality Auditor - III - Administrative (B Support / Professional) - P3</x:v>
      </x:c>
      <x:c r="B84" s="91" t="str">
        <x:v>J</x:v>
      </x:c>
    </x:row>
    <x:row r="85">
      <x:c r="A85" s="91" t="str">
        <x:v>Quality Control Specialist - II - LAB (O Support / Research) - O2 (High)</x:v>
      </x:c>
      <x:c r="B85" s="91" t="str">
        <x:v>D</x:v>
      </x:c>
    </x:row>
    <x:row r="86">
      <x:c r="A86" s="91" t="str">
        <x:v>Quality Control Specialist - II - LAB (O Support / Research) - O2 (Mid)</x:v>
      </x:c>
      <x:c r="B86" s="91" t="str">
        <x:v>C</x:v>
      </x:c>
    </x:row>
    <x:row r="87">
      <x:c r="A87" s="91" t="str">
        <x:v>Quality Control Specialist - III - LAB (O Support / Research) - O3</x:v>
      </x:c>
      <x:c r="B87" s="91" t="str">
        <x:v>E</x:v>
      </x:c>
    </x:row>
    <x:row r="88">
      <x:c r="A88" s="91" t="str">
        <x:v>Quality Engineer - II - Engineering (P &amp; O Support / Professional) - P2</x:v>
      </x:c>
      <x:c r="B88" s="91" t="str">
        <x:v>H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</x:row>
    <x:row r="91">
      <x:c r="A91" s="91" t="str">
        <x:v>Reliability Engineer - I - Engineering (P &amp; O Support / Professional) - P1</x:v>
      </x:c>
      <x:c r="B91" s="91" t="str">
        <x:v>F</x:v>
      </x:c>
    </x:row>
    <x:row r="92">
      <x:c r="A92" s="91" t="str">
        <x:v>Reliability Engineer - II - Engineering (P &amp; O Support / Professional) - P2</x:v>
      </x:c>
      <x:c r="B92" s="91" t="str">
        <x:v>H</x:v>
      </x:c>
    </x:row>
    <x:row r="93">
      <x:c r="A93" s="91" t="str">
        <x:v>Reliability Engineer - III - Engineering (P &amp; O Support / Professional) - P3</x:v>
      </x:c>
      <x:c r="B93" s="91" t="str">
        <x:v>J</x:v>
      </x:c>
    </x:row>
    <x:row r="94">
      <x:c r="A94" s="91" t="str">
        <x:v>Reliability Engineer - IV - Engineering (P &amp; O Support / Professional) - O4</x:v>
      </x:c>
      <x:c r="B94" s="91" t="str">
        <x:v>G</x:v>
      </x:c>
    </x:row>
    <x:row r="95">
      <x:c r="A95" s="91" t="str">
        <x:v>Sales Assistant - I - Administrative (B Support / Professional) - P1</x:v>
      </x:c>
      <x:c r="B95" s="91" t="str">
        <x:v>G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</x:row>
    <x:row r="99">
      <x:c r="A99" s="91" t="str">
        <x:v>Scientist - I - Science (P &amp; O / Research) - R1</x:v>
      </x:c>
      <x:c r="B99" s="91" t="str">
        <x:v>E</x:v>
      </x:c>
    </x:row>
    <x:row r="100">
      <x:c r="A100" s="91" t="str">
        <x:v>Scientist - I - Science (P &amp; O / Research) - R1 - GS</x:v>
      </x:c>
      <x:c r="B100" s="91" t="str">
        <x:v>E</x:v>
      </x:c>
    </x:row>
    <x:row r="101">
      <x:c r="A101" s="91" t="str">
        <x:v>Scientist - II - Science (P &amp; O / Research) - R2</x:v>
      </x:c>
      <x:c r="B101" s="91" t="str">
        <x:v>G</x:v>
      </x:c>
    </x:row>
    <x:row r="102">
      <x:c r="A102" s="91" t="str">
        <x:v>Scientist - III - Science (P &amp; O / Research) - R3</x:v>
      </x:c>
      <x:c r="B102" s="91" t="str">
        <x:v>J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</x:row>
    <x:row r="104">
      <x:c r="A104" s="91" t="str">
        <x:v>Supply Chain Specialist - II - Engineering (P &amp; O Support / Professional) - P2</x:v>
      </x:c>
      <x:c r="B104" s="91" t="str">
        <x:v>H</x:v>
      </x:c>
    </x:row>
    <x:row r="105">
      <x:c r="A105" s="91" t="str">
        <x:v>Supply Chain Specialist - III - Engineering (P &amp; O Support / Professional) - P3</x:v>
      </x:c>
      <x:c r="B105" s="91" t="str">
        <x:v>J</x:v>
      </x:c>
    </x:row>
    <x:row r="106">
      <x:c r="A106" s="91" t="str">
        <x:v>Supply Chain Specialist - IV - Engineering (P &amp; O Support / Professional) - P4</x:v>
      </x:c>
      <x:c r="B106" s="91" t="str">
        <x:v>L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</x:row>
    <x:row r="110">
      <x:c r="A110" s="91" t="str">
        <x:v>Validation Engineer - I - Engineering (P &amp; O Support / Professional) - P1</x:v>
      </x:c>
      <x:c r="B110" s="91" t="str">
        <x:v>G</x:v>
      </x:c>
    </x:row>
    <x:row r="111">
      <x:c r="A111" s="91" t="str">
        <x:v>Validation Engineer - II - Engineering (P &amp; O Support / Professional) - P2</x:v>
      </x:c>
      <x:c r="B111" s="91" t="str">
        <x:v>H</x:v>
      </x:c>
    </x:row>
    <x:row r="112">
      <x:c r="A112" s="91" t="str">
        <x:v>Validation Engineer - III - Engineering (P &amp; O Support / Professional) - P3</x:v>
      </x:c>
      <x:c r="B112" s="91" t="str">
        <x:v>J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</x:row>
  </x:sheetData>
  <x:pageMargins left="0.7" right="0.7" top="0.75" bottom="0.75" header="0.3" footer="0.3"/>
</x:worksheet>
</file>