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4bd05e3ba44c0f" /></Relationships>
</file>

<file path=xl/workbook.xml><?xml version="1.0" encoding="utf-8"?>
<x:workbook xmlns:x="http://schemas.openxmlformats.org/spreadsheetml/2006/main">
  <x:sheets>
    <x:sheet xmlns:r="http://schemas.openxmlformats.org/officeDocument/2006/relationships" name="Employee Merit 2026" sheetId="1" r:id="R3e07063c1d9740eb"/>
    <x:sheet xmlns:r="http://schemas.openxmlformats.org/officeDocument/2006/relationships" name="Data" sheetId="2" r:id="Re238dc25ef2f4b34"/>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 #,##0.00"/>
    <x:numFmt numFmtId="201" formatCode="0.00"/>
    <x:numFmt numFmtId="202" formatCode="0.000%"/>
    <x:numFmt numFmtId="203" formatCode="0.00%"/>
    <x:numFmt numFmtId="204" formatCode="0.000"/>
    <x:numFmt numFmtId="205" formatCode="? #,##0"/>
    <x:numFmt numFmtId="206" formatCode="€ #,##0"/>
    <x:numFmt numFmtId="207" formatCode="0.0%"/>
    <x:numFmt numFmtId="208" formatCode="$#,##0"/>
    <x:numFmt numFmtId="209" formatCode="$0.00"/>
  </x:numFmts>
  <x:fonts count="17">
    <x:font>
      <x:sz val="11"/>
      <x:name val="Carlito"/>
    </x:font>
    <x:font>
      <x:b/>
      <x:sz val="18"/>
      <x:color rgb="FFFFFFFF"/>
      <x:name val="Segoe UI"/>
    </x:font>
    <x:font>
      <x:sz val="10"/>
      <x:color rgb="FFD6E8F3"/>
      <x:name val="Segoe UI"/>
    </x:font>
    <x:font>
      <x:b/>
      <x:sz val="9"/>
      <x:color rgb="FF071A2F"/>
      <x:name val="Segoe UI"/>
    </x:font>
    <x:font>
      <x:b/>
      <x:sz val="9"/>
      <x:color rgb="FFFFFFFF"/>
      <x:name val="Segoe UI"/>
    </x:font>
    <x:font>
      <x:sz val="9"/>
      <x:color rgb="FF102A43"/>
      <x:name val="Segoe UI"/>
    </x:font>
    <x:font>
      <x:b/>
      <x:sz val="9"/>
      <x:color rgb="FF137333"/>
      <x:name val="Segoe UI"/>
    </x:font>
    <x:font>
      <x:b/>
      <x:sz val="10"/>
      <x:color rgb="FFFFFFFF"/>
      <x:name val="Segoe UI"/>
    </x:font>
    <x:font>
      <x:b/>
      <x:sz val="9"/>
      <x:color rgb="FF111111"/>
      <x:name val="Segoe UI"/>
    </x:font>
    <x:font>
      <x:sz val="9"/>
      <x:color rgb="FF333333"/>
      <x:name val="Segoe UI"/>
    </x:font>
    <x:font>
      <x:sz val="9"/>
      <x:color rgb="FF111111"/>
      <x:name val="Segoe UI"/>
    </x:font>
    <x:font>
      <x:b/>
      <x:sz val="9"/>
      <x:color rgb="FF102A43"/>
      <x:name val="Segoe UI"/>
    </x:font>
    <x:font>
      <x:b/>
      <x:sz val="9"/>
      <x:color rgb="FF6B7280"/>
      <x:name val="Segoe UI"/>
    </x:font>
    <x:font>
      <x:sz val="11"/>
      <x:color rgb="FF6B7280"/>
      <x:name val="Carlito"/>
    </x:font>
    <x:font>
      <x:sz val="9"/>
      <x:color rgb="FF6B7280"/>
      <x:name val="Segoe UI"/>
    </x:font>
    <x:font>
      <x:sz val="9"/>
      <x:color rgb="FF333333"/>
      <x:name val="Segoe UI"/>
    </x:font>
    <x:font>
      <x:sz val="9"/>
      <x:color rgb="FF111111"/>
      <x:name val="Segoe UI"/>
    </x:font>
  </x:fonts>
  <x:fills count="22">
    <x:fill>
      <x:patternFill patternType="none"/>
    </x:fill>
    <x:fill>
      <x:patternFill patternType="gray125"/>
    </x:fill>
    <x:fill>
      <x:patternFill patternType="solid">
        <x:fgColor rgb="FF071A2F"/>
      </x:patternFill>
    </x:fill>
    <x:fill>
      <x:patternFill patternType="solid">
        <x:fgColor rgb="FF0C2943"/>
      </x:patternFill>
    </x:fill>
    <x:fill>
      <x:patternFill patternType="solid">
        <x:fgColor rgb="FF5BC6E8"/>
      </x:patternFill>
    </x:fill>
    <x:fill>
      <x:patternFill patternType="solid">
        <x:fgColor rgb="FFE5F7FC"/>
      </x:patternFill>
    </x:fill>
    <x:fill>
      <x:patternFill patternType="solid">
        <x:fgColor rgb="FFF7F1FA"/>
      </x:patternFill>
    </x:fill>
    <x:fill>
      <x:patternFill patternType="solid">
        <x:fgColor rgb="FFE6F4EA"/>
      </x:patternFill>
    </x:fill>
    <x:fill>
      <x:patternFill patternType="solid">
        <x:fgColor rgb="FFD9D9D9"/>
      </x:patternFill>
    </x:fill>
    <x:fill>
      <x:patternFill patternType="solid">
        <x:fgColor rgb="FF9BE3F7"/>
      </x:patternFill>
    </x:fill>
    <x:fill>
      <x:patternFill patternType="solid">
        <x:fgColor rgb="FFF5F5F5"/>
      </x:patternFill>
    </x:fill>
    <x:fill>
      <x:patternFill patternType="solid">
        <x:fgColor rgb="FFF7F7F7"/>
      </x:patternFill>
    </x:fill>
    <x:fill>
      <x:patternFill patternType="solid">
        <x:fgColor rgb="FFDDF6FF"/>
      </x:patternFill>
    </x:fill>
    <x:fill>
      <x:patternFill patternType="solid">
        <x:fgColor rgb="FFF7F1FA"/>
      </x:patternFill>
    </x:fill>
    <x:fill>
      <x:patternFill patternType="solid">
        <x:fgColor rgb="FFF4F7FA"/>
      </x:patternFill>
    </x:fill>
    <x:fill>
      <x:patternFill patternType="solid">
        <x:fgColor rgb="FFD9D9D9"/>
      </x:patternFill>
    </x:fill>
    <x:fill>
      <x:patternFill patternType="solid">
        <x:fgColor rgb="FF9BE3F7"/>
      </x:patternFill>
    </x:fill>
    <x:fill>
      <x:patternFill patternType="solid">
        <x:fgColor rgb="FFF5F5F5"/>
      </x:patternFill>
    </x:fill>
    <x:fill>
      <x:patternFill patternType="solid">
        <x:fgColor rgb="FFF7F7F7"/>
      </x:patternFill>
    </x:fill>
    <x:fill>
      <x:patternFill patternType="solid">
        <x:fgColor rgb="FFDDF6FF"/>
      </x:patternFill>
    </x:fill>
    <x:fill>
      <x:patternFill patternType="solid">
        <x:fgColor rgb="FFF7F1FA"/>
      </x:patternFill>
    </x:fill>
    <x:fill>
      <x:patternFill patternType="solid">
        <x:fgColor rgb="FFF4F7FA"/>
      </x:patternFill>
    </x:fill>
  </x:fills>
  <x:borders count="29">
    <x:border/>
    <x:border>
      <x:left style="thin">
        <x:color rgb="FF071A2F"/>
      </x:left>
      <x:right style="thin">
        <x:color rgb="FF071A2F"/>
      </x:right>
      <x:top style="thin">
        <x:color rgb="FF071A2F"/>
      </x:top>
      <x:bottom style="thin">
        <x:color rgb="FF071A2F"/>
      </x:bottom>
    </x:border>
    <x:border>
      <x:left style="thin">
        <x:color rgb="FF41637C"/>
      </x:left>
      <x:right style="thin">
        <x:color rgb="FF41637C"/>
      </x:right>
      <x:top style="thin">
        <x:color rgb="FF41637C"/>
      </x:top>
      <x:bottom style="thin">
        <x:color rgb="FF41637C"/>
      </x:bottom>
    </x:border>
    <x:border>
      <x:right style="thin">
        <x:color rgb="FFC6D3DC"/>
      </x:right>
      <x:bottom style="thin">
        <x:color rgb="FFC6D3DC"/>
      </x:bottom>
    </x:border>
    <x:border>
      <x:left style="thin">
        <x:color rgb="FFC6D3DC"/>
      </x:left>
      <x:right style="thin">
        <x:color rgb="FFC6D3DC"/>
      </x:right>
      <x:bottom style="thin">
        <x:color rgb="FFC6D3DC"/>
      </x:bottom>
    </x:border>
    <x:border>
      <x:left style="thin">
        <x:color rgb="FFC6D3DC"/>
      </x:left>
      <x:bottom style="thin">
        <x:color rgb="FFC6D3DC"/>
      </x:bottom>
    </x:border>
    <x:border>
      <x:right style="thin">
        <x:color rgb="FFC6D3DC"/>
      </x:right>
      <x:top style="thin">
        <x:color rgb="FFC6D3DC"/>
      </x:top>
      <x:bottom style="thin">
        <x:color rgb="FFC6D3DC"/>
      </x:bottom>
    </x:border>
    <x:border>
      <x:left style="thin">
        <x:color rgb="FFC6D3DC"/>
      </x:left>
      <x:right style="thin">
        <x:color rgb="FFC6D3DC"/>
      </x:right>
      <x:top style="thin">
        <x:color rgb="FFC6D3DC"/>
      </x:top>
      <x:bottom style="thin">
        <x:color rgb="FFC6D3DC"/>
      </x:bottom>
    </x:border>
    <x:border>
      <x:left style="thin">
        <x:color rgb="FFC6D3DC"/>
      </x:left>
      <x:top style="thin">
        <x:color rgb="FFC6D3DC"/>
      </x:top>
      <x:bottom style="thin">
        <x:color rgb="FFC6D3DC"/>
      </x:bottom>
    </x:border>
    <x:border>
      <x:right style="thin">
        <x:color rgb="FFC6D3DC"/>
      </x:right>
      <x:top style="thin">
        <x:color rgb="FFC6D3DC"/>
      </x:top>
    </x:border>
    <x:border>
      <x:left style="thin">
        <x:color rgb="FFC6D3DC"/>
      </x:left>
      <x:right style="thin">
        <x:color rgb="FFC6D3DC"/>
      </x:right>
      <x:top style="thin">
        <x:color rgb="FFC6D3DC"/>
      </x:top>
    </x:border>
    <x:border>
      <x:left style="thin">
        <x:color rgb="FFC6D3DC"/>
      </x:left>
      <x:top style="thin">
        <x:color rgb="FFC6D3DC"/>
      </x:top>
    </x:border>
    <x:border>
      <x:right style="thin">
        <x:color rgb="FFDED1DF"/>
      </x:right>
      <x:bottom style="thin">
        <x:color rgb="FFDED1DF"/>
      </x:bottom>
    </x:border>
    <x:border>
      <x:left style="thin">
        <x:color rgb="FFDED1DF"/>
      </x:left>
      <x:right style="thin">
        <x:color rgb="FFDED1DF"/>
      </x:right>
      <x:bottom style="thin">
        <x:color rgb="FFDED1DF"/>
      </x:bottom>
    </x:border>
    <x:border>
      <x:left style="thin">
        <x:color rgb="FFDED1DF"/>
      </x:left>
      <x:bottom style="thin">
        <x:color rgb="FFDED1DF"/>
      </x:bottom>
    </x:border>
    <x:border>
      <x:right style="thin">
        <x:color rgb="FFDED1DF"/>
      </x:right>
      <x:top style="thin">
        <x:color rgb="FFDED1DF"/>
      </x:top>
      <x:bottom style="thin">
        <x:color rgb="FFDED1DF"/>
      </x:bottom>
    </x:border>
    <x:border>
      <x:left style="thin">
        <x:color rgb="FFDED1DF"/>
      </x:left>
      <x:right style="thin">
        <x:color rgb="FFDED1DF"/>
      </x:right>
      <x:top style="thin">
        <x:color rgb="FFDED1DF"/>
      </x:top>
      <x:bottom style="thin">
        <x:color rgb="FFDED1DF"/>
      </x:bottom>
    </x:border>
    <x:border>
      <x:left style="thin">
        <x:color rgb="FFDED1DF"/>
      </x:left>
      <x:top style="thin">
        <x:color rgb="FFDED1DF"/>
      </x:top>
      <x:bottom style="thin">
        <x:color rgb="FFDED1DF"/>
      </x:bottom>
    </x:border>
    <x:border>
      <x:right style="thin">
        <x:color rgb="FFDED1DF"/>
      </x:right>
      <x:top style="thin">
        <x:color rgb="FFDED1DF"/>
      </x:top>
    </x:border>
    <x:border>
      <x:left style="thin">
        <x:color rgb="FFDED1DF"/>
      </x:left>
      <x:right style="thin">
        <x:color rgb="FFDED1DF"/>
      </x:right>
      <x:top style="thin">
        <x:color rgb="FFDED1DF"/>
      </x:top>
    </x:border>
    <x:border>
      <x:left style="thin">
        <x:color rgb="FFDED1DF"/>
      </x:left>
      <x:top style="thin">
        <x:color rgb="FFDED1DF"/>
      </x:top>
    </x:border>
    <x:border>
      <x:left style="thin">
        <x:color rgb="FFDED1DF"/>
      </x:left>
      <x:right style="thin">
        <x:color rgb="FFDED1DF"/>
      </x:right>
      <x:bottom style="thin">
        <x:color rgb="FF9ACAA5"/>
      </x:bottom>
    </x:border>
    <x:border>
      <x:left style="thin">
        <x:color rgb="FFDED1DF"/>
      </x:left>
      <x:right style="thin">
        <x:color rgb="FFDED1DF"/>
      </x:right>
      <x:top style="thin">
        <x:color rgb="FF9ACAA5"/>
      </x:top>
      <x:bottom style="thin">
        <x:color rgb="FF9ACAA5"/>
      </x:bottom>
    </x:border>
    <x:border>
      <x:left style="thin">
        <x:color rgb="FFDED1DF"/>
      </x:left>
      <x:right style="thin">
        <x:color rgb="FFDED1DF"/>
      </x:right>
      <x:top style="thin">
        <x:color rgb="FF9ACAA5"/>
      </x:top>
      <x:bottom style="thin">
        <x:color rgb="FFDED1DF"/>
      </x:bottom>
    </x:border>
    <x:border>
      <x:bottom style="thin">
        <x:color rgb="FFE4EBF0"/>
      </x:bottom>
    </x:border>
    <x:border>
      <x:top style="thin">
        <x:color rgb="FFE4EBF0"/>
      </x:top>
      <x:bottom style="thin">
        <x:color rgb="FFE4EBF0"/>
      </x:bottom>
    </x:border>
    <x:border>
      <x:top style="thin">
        <x:color rgb="FFE4EBF0"/>
      </x:top>
    </x:border>
    <x:border>
      <x:left style="thin">
        <x:color rgb="FF111111"/>
      </x:left>
      <x:right style="thin">
        <x:color rgb="FF111111"/>
      </x:right>
      <x:top style="thin">
        <x:color rgb="FF111111"/>
      </x:top>
      <x:bottom style="thin">
        <x:color rgb="FF111111"/>
      </x:bottom>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2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2" xfId="0" applyNumberFormat="1" applyFont="1" applyFill="1" applyBorder="1"/>
    <x:xf numFmtId="0" fontId="4" fillId="2" borderId="2" xfId="0" applyNumberFormat="1" applyFont="1" applyFill="1" applyBorder="1" applyAlignment="1">
      <x:alignment wrapText="1"/>
    </x:xf>
    <x:xf numFmtId="0" fontId="4" fillId="2" borderId="2" xfId="0" applyNumberFormat="1" applyFont="1" applyFill="1" applyBorder="1" applyAlignment="1">
      <x:alignment horizontal="center" wrapText="1"/>
    </x:xf>
    <x:xf numFmtId="0" fontId="4" fillId="2" borderId="2"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3" xfId="0" applyNumberFormat="1" applyFont="1" applyFill="1" applyBorder="1" applyAlignment="1">
      <x:alignment vertical="center"/>
    </x:xf>
    <x:xf numFmtId="0" fontId="5" fillId="5" borderId="4" xfId="0" applyNumberFormat="1" applyFont="1" applyFill="1" applyBorder="1" applyAlignment="1">
      <x:alignment vertical="center"/>
    </x:xf>
    <x:xf numFmtId="0" fontId="5" fillId="5" borderId="5" xfId="0" applyNumberFormat="1" applyFont="1" applyFill="1" applyBorder="1" applyAlignment="1">
      <x:alignment vertical="center"/>
    </x:xf>
    <x:xf numFmtId="0" fontId="5" fillId="5" borderId="6" xfId="0" applyNumberFormat="1" applyFont="1" applyFill="1" applyBorder="1" applyAlignment="1">
      <x:alignment vertical="center"/>
    </x:xf>
    <x:xf numFmtId="0" fontId="5" fillId="5" borderId="7" xfId="0" applyNumberFormat="1" applyFont="1" applyFill="1" applyBorder="1" applyAlignment="1">
      <x:alignment vertical="center"/>
    </x:xf>
    <x:xf numFmtId="0" fontId="5" fillId="5" borderId="8" xfId="0" applyNumberFormat="1" applyFont="1" applyFill="1" applyBorder="1" applyAlignment="1">
      <x:alignment vertical="center"/>
    </x:xf>
    <x:xf numFmtId="0" fontId="5" fillId="5" borderId="9" xfId="0" applyNumberFormat="1" applyFont="1" applyFill="1" applyBorder="1" applyAlignment="1">
      <x:alignment vertical="center"/>
    </x:xf>
    <x:xf numFmtId="0" fontId="5" fillId="5" borderId="10" xfId="0" applyNumberFormat="1" applyFont="1" applyFill="1" applyBorder="1" applyAlignment="1">
      <x:alignment vertical="center"/>
    </x:xf>
    <x:xf numFmtId="0" fontId="5" fillId="5" borderId="11"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15" xfId="0" applyNumberFormat="1" applyFont="1" applyFill="1" applyBorder="1"/>
    <x:xf numFmtId="0" fontId="5" fillId="6" borderId="16" xfId="0" applyNumberFormat="1" applyFont="1" applyFill="1" applyBorder="1"/>
    <x:xf numFmtId="0" fontId="5" fillId="6" borderId="17" xfId="0" applyNumberFormat="1" applyFont="1" applyFill="1" applyBorder="1"/>
    <x:xf numFmtId="0" fontId="5" fillId="6" borderId="18" xfId="0" applyNumberFormat="1" applyFont="1" applyFill="1" applyBorder="1"/>
    <x:xf numFmtId="0" fontId="5" fillId="6" borderId="19" xfId="0" applyNumberFormat="1" applyFont="1" applyFill="1" applyBorder="1"/>
    <x:xf numFmtId="0" fontId="5" fillId="6" borderId="20" xfId="0" applyNumberFormat="1" applyFont="1" applyFill="1" applyBorder="1"/>
    <x:xf numFmtId="0" fontId="5" fillId="6" borderId="12" xfId="0" applyNumberFormat="1" applyFont="1" applyFill="1" applyBorder="1" applyAlignment="1">
      <x:alignment vertical="center"/>
    </x:xf>
    <x:xf numFmtId="0" fontId="5" fillId="6" borderId="13" xfId="0" applyNumberFormat="1" applyFont="1" applyFill="1" applyBorder="1" applyAlignment="1">
      <x:alignment vertical="center"/>
    </x:xf>
    <x:xf numFmtId="0" fontId="5" fillId="6" borderId="14" xfId="0" applyNumberFormat="1" applyFont="1" applyFill="1" applyBorder="1" applyAlignment="1">
      <x:alignment vertical="center"/>
    </x:xf>
    <x:xf numFmtId="0" fontId="5" fillId="6" borderId="15" xfId="0" applyNumberFormat="1" applyFont="1" applyFill="1" applyBorder="1" applyAlignment="1">
      <x:alignment vertical="center"/>
    </x:xf>
    <x:xf numFmtId="0" fontId="5" fillId="6" borderId="16" xfId="0" applyNumberFormat="1" applyFont="1" applyFill="1" applyBorder="1" applyAlignment="1">
      <x:alignment vertical="center"/>
    </x:xf>
    <x:xf numFmtId="0" fontId="5" fillId="6" borderId="17" xfId="0" applyNumberFormat="1" applyFont="1" applyFill="1" applyBorder="1" applyAlignment="1">
      <x:alignment vertical="center"/>
    </x:xf>
    <x:xf numFmtId="0" fontId="5" fillId="6" borderId="18" xfId="0" applyNumberFormat="1" applyFont="1" applyFill="1" applyBorder="1" applyAlignment="1">
      <x:alignment vertical="center"/>
    </x:xf>
    <x:xf numFmtId="0" fontId="5" fillId="6" borderId="19" xfId="0" applyNumberFormat="1" applyFont="1" applyFill="1" applyBorder="1" applyAlignment="1">
      <x:alignment vertical="center"/>
    </x:xf>
    <x:xf numFmtId="0" fontId="5" fillId="6" borderId="20" xfId="0" applyNumberFormat="1" applyFont="1" applyFill="1" applyBorder="1" applyAlignment="1">
      <x:alignment vertical="center"/>
    </x:xf>
    <x:xf numFmtId="200" fontId="5" fillId="5" borderId="5" xfId="0" applyNumberFormat="1" applyFont="1" applyFill="1" applyBorder="1" applyAlignment="1">
      <x:alignment vertical="center"/>
    </x:xf>
    <x:xf numFmtId="200" fontId="5" fillId="5" borderId="8" xfId="0" applyNumberFormat="1" applyFont="1" applyFill="1" applyBorder="1" applyAlignment="1">
      <x:alignment vertical="center"/>
    </x:xf>
    <x:xf numFmtId="200" fontId="5" fillId="5" borderId="11" xfId="0" applyNumberFormat="1" applyFont="1" applyFill="1" applyBorder="1" applyAlignment="1">
      <x:alignment vertical="center"/>
    </x:xf>
    <x:xf numFmtId="201" fontId="5" fillId="6" borderId="13" xfId="0" applyNumberFormat="1" applyFont="1" applyFill="1" applyBorder="1" applyAlignment="1">
      <x:alignment vertical="center"/>
    </x:xf>
    <x:xf numFmtId="201" fontId="5" fillId="6" borderId="16" xfId="0" applyNumberFormat="1" applyFont="1" applyFill="1" applyBorder="1" applyAlignment="1">
      <x:alignment vertical="center"/>
    </x:xf>
    <x:xf numFmtId="201" fontId="5" fillId="6" borderId="19" xfId="0" applyNumberFormat="1" applyFont="1" applyFill="1" applyBorder="1" applyAlignment="1">
      <x:alignment vertical="center"/>
    </x:xf>
    <x:xf numFmtId="200" fontId="5" fillId="6" borderId="13" xfId="0" applyNumberFormat="1" applyFont="1" applyFill="1" applyBorder="1" applyAlignment="1">
      <x:alignment vertical="center"/>
    </x:xf>
    <x:xf numFmtId="200" fontId="5" fillId="6" borderId="16" xfId="0" applyNumberFormat="1" applyFont="1" applyFill="1" applyBorder="1" applyAlignment="1">
      <x:alignment vertical="center"/>
    </x:xf>
    <x:xf numFmtId="200" fontId="5" fillId="6" borderId="19" xfId="0" applyNumberFormat="1" applyFont="1" applyFill="1" applyBorder="1" applyAlignment="1">
      <x:alignment vertical="center"/>
    </x:xf>
    <x:xf numFmtId="202" fontId="5" fillId="6" borderId="13" xfId="0" applyNumberFormat="1" applyFont="1" applyFill="1" applyBorder="1" applyAlignment="1">
      <x:alignment vertical="center"/>
    </x:xf>
    <x:xf numFmtId="202" fontId="5" fillId="6" borderId="16" xfId="0" applyNumberFormat="1" applyFont="1" applyFill="1" applyBorder="1" applyAlignment="1">
      <x:alignment vertical="center"/>
    </x:xf>
    <x:xf numFmtId="202" fontId="5" fillId="6" borderId="19" xfId="0" applyNumberFormat="1" applyFont="1" applyFill="1" applyBorder="1" applyAlignment="1">
      <x:alignment vertical="center"/>
    </x:xf>
    <x:xf numFmtId="203" fontId="5" fillId="6" borderId="13" xfId="0" applyNumberFormat="1" applyFont="1" applyFill="1" applyBorder="1" applyAlignment="1">
      <x:alignment vertical="center"/>
    </x:xf>
    <x:xf numFmtId="203" fontId="5" fillId="6" borderId="16" xfId="0" applyNumberFormat="1" applyFont="1" applyFill="1" applyBorder="1" applyAlignment="1">
      <x:alignment vertical="center"/>
    </x:xf>
    <x:xf numFmtId="203" fontId="5" fillId="6" borderId="19" xfId="0" applyNumberFormat="1" applyFont="1" applyFill="1" applyBorder="1" applyAlignment="1">
      <x:alignment vertical="center"/>
    </x:xf>
    <x:xf numFmtId="204" fontId="5" fillId="6" borderId="13" xfId="0" applyNumberFormat="1" applyFont="1" applyFill="1" applyBorder="1" applyAlignment="1">
      <x:alignment vertical="center"/>
    </x:xf>
    <x:xf numFmtId="204" fontId="5" fillId="6" borderId="16" xfId="0" applyNumberFormat="1" applyFont="1" applyFill="1" applyBorder="1" applyAlignment="1">
      <x:alignment vertical="center"/>
    </x:xf>
    <x:xf numFmtId="204" fontId="5" fillId="6" borderId="19" xfId="0" applyNumberFormat="1" applyFont="1" applyFill="1" applyBorder="1" applyAlignment="1">
      <x:alignment vertical="center"/>
    </x:xf>
    <x:xf numFmtId="205" fontId="5" fillId="6" borderId="13" xfId="0" applyNumberFormat="1" applyFont="1" applyFill="1" applyBorder="1" applyAlignment="1">
      <x:alignment vertical="center"/>
    </x:xf>
    <x:xf numFmtId="205" fontId="5" fillId="6" borderId="16" xfId="0" applyNumberFormat="1" applyFont="1" applyFill="1" applyBorder="1" applyAlignment="1">
      <x:alignment vertical="center"/>
    </x:xf>
    <x:xf numFmtId="205" fontId="5" fillId="6" borderId="19" xfId="0" applyNumberFormat="1" applyFont="1" applyFill="1" applyBorder="1" applyAlignment="1">
      <x:alignment vertical="center"/>
    </x:xf>
    <x:xf numFmtId="200" fontId="5" fillId="7" borderId="13" xfId="0" applyNumberFormat="1" applyFont="1" applyFill="1" applyBorder="1" applyAlignment="1">
      <x:alignment vertical="center"/>
    </x:xf>
    <x:xf numFmtId="200" fontId="5" fillId="7" borderId="16" xfId="0" applyNumberFormat="1" applyFont="1" applyFill="1" applyBorder="1" applyAlignment="1">
      <x:alignment vertical="center"/>
    </x:xf>
    <x:xf numFmtId="200" fontId="5" fillId="7" borderId="19" xfId="0" applyNumberFormat="1" applyFont="1" applyFill="1" applyBorder="1" applyAlignment="1">
      <x:alignment vertical="center"/>
    </x:xf>
    <x:xf numFmtId="200" fontId="6" fillId="7" borderId="13" xfId="0" applyNumberFormat="1" applyFont="1" applyFill="1" applyBorder="1" applyAlignment="1">
      <x:alignment vertical="center"/>
    </x:xf>
    <x:xf numFmtId="200" fontId="6" fillId="7" borderId="16" xfId="0" applyNumberFormat="1" applyFont="1" applyFill="1" applyBorder="1" applyAlignment="1">
      <x:alignment vertical="center"/>
    </x:xf>
    <x:xf numFmtId="200" fontId="6" fillId="7" borderId="19" xfId="0" applyNumberFormat="1" applyFont="1" applyFill="1" applyBorder="1" applyAlignment="1">
      <x:alignment vertical="center"/>
    </x:xf>
    <x:xf numFmtId="200" fontId="6" fillId="7" borderId="21" xfId="0" applyNumberFormat="1" applyFont="1" applyFill="1" applyBorder="1" applyAlignment="1">
      <x:alignment vertical="center"/>
    </x:xf>
    <x:xf numFmtId="200" fontId="6" fillId="7" borderId="22" xfId="0" applyNumberFormat="1" applyFont="1" applyFill="1" applyBorder="1" applyAlignment="1">
      <x:alignment vertical="center"/>
    </x:xf>
    <x:xf numFmtId="200" fontId="6" fillId="7" borderId="23" xfId="0" applyNumberFormat="1" applyFont="1" applyFill="1" applyBorder="1" applyAlignment="1">
      <x:alignment vertical="center"/>
    </x:xf>
    <x:xf numFmtId="0" fontId="7" fillId="2" borderId="0" xfId="0" applyNumberFormat="1" applyFont="1" applyFill="1" applyBorder="1"/>
    <x:xf numFmtId="0" fontId="5" fillId="0" borderId="0" xfId="0" applyNumberFormat="1" applyFont="1" applyFill="1" applyBorder="1"/>
    <x:xf numFmtId="0" fontId="5" fillId="0" borderId="24" xfId="0" applyNumberFormat="1" applyFont="1" applyFill="1" applyBorder="1"/>
    <x:xf numFmtId="0" fontId="5" fillId="0" borderId="25" xfId="0" applyNumberFormat="1" applyFont="1" applyFill="1" applyBorder="1"/>
    <x:xf numFmtId="0" fontId="5" fillId="0" borderId="26" xfId="0" applyNumberFormat="1" applyFont="1" applyFill="1" applyBorder="1"/>
    <x:xf numFmtId="206" fontId="0" fillId="0" borderId="0" xfId="0" applyNumberFormat="1" applyFont="1" applyFill="1" applyBorder="1"/>
    <x:xf numFmtId="207" fontId="0" fillId="0" borderId="0" xfId="0" applyNumberFormat="1" applyFont="1" applyFill="1" applyBorder="1"/>
    <x:xf numFmtId="203" fontId="0" fillId="0" borderId="0" xfId="0" applyNumberFormat="1" applyFont="1" applyFill="1" applyBorder="1"/>
    <x:xf numFmtId="201" fontId="0" fillId="0" borderId="0" xfId="0" applyNumberFormat="1" applyFont="1" applyFill="1" applyBorder="1"/>
    <x:xf numFmtId="0" fontId="3" fillId="8" borderId="1" xfId="0" applyNumberFormat="1" applyFont="1" applyFill="1" applyBorder="1" applyAlignment="1">
      <x:alignment horizontal="center" vertical="center" wrapText="1"/>
    </x:xf>
    <x:xf numFmtId="0" fontId="4" fillId="8" borderId="2" xfId="0" applyNumberFormat="1" applyFont="1" applyFill="1" applyBorder="1" applyAlignment="1">
      <x:alignment horizontal="center" vertical="center" wrapText="1"/>
    </x:xf>
    <x:xf numFmtId="0" fontId="8" fillId="8" borderId="1" xfId="0" applyNumberFormat="1" applyFont="1" applyFill="1" applyBorder="1" applyAlignment="1">
      <x:alignment horizontal="center" vertical="center" wrapText="1"/>
    </x:xf>
    <x:xf numFmtId="0" fontId="8" fillId="8" borderId="2" xfId="0" applyNumberFormat="1" applyFont="1" applyFill="1" applyBorder="1" applyAlignment="1">
      <x:alignment horizontal="center" vertical="center" wrapText="1"/>
    </x:xf>
    <x:xf numFmtId="0" fontId="8" fillId="8" borderId="27" xfId="0" applyNumberFormat="1" applyFont="1" applyFill="1" applyBorder="1" applyAlignment="1">
      <x:alignment horizontal="center" vertical="center" wrapText="1"/>
    </x:xf>
    <x:xf numFmtId="0" fontId="8" fillId="8" borderId="27" xfId="0" applyNumberFormat="1" applyFont="1" applyFill="1" applyBorder="1" applyAlignment="1">
      <x:alignment horizontal="center" vertical="center" wrapText="0"/>
    </x:xf>
    <x:xf numFmtId="0" fontId="4" fillId="9" borderId="2"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0" fontId="3" fillId="9" borderId="27" xfId="0" applyNumberFormat="1" applyFont="1" applyFill="1" applyBorder="1" applyAlignment="1">
      <x:alignment horizontal="center" vertical="center" wrapText="1"/>
    </x:xf>
    <x:xf numFmtId="0" fontId="3" fillId="9" borderId="27" xfId="0" applyNumberFormat="1" applyFont="1" applyFill="1" applyBorder="1" applyAlignment="1">
      <x:alignment horizontal="center" vertical="center" wrapText="0"/>
    </x:xf>
    <x:xf numFmtId="0" fontId="4" fillId="10" borderId="2" xfId="0" applyNumberFormat="1" applyFont="1" applyFill="1" applyBorder="1" applyAlignment="1">
      <x:alignment horizontal="center" vertical="center" wrapText="1"/>
    </x:xf>
    <x:xf numFmtId="0" fontId="9" fillId="10" borderId="2" xfId="0" applyNumberFormat="1" applyFont="1" applyFill="1" applyBorder="1" applyAlignment="1">
      <x:alignment horizontal="center" vertical="center" wrapText="1"/>
    </x:xf>
    <x:xf numFmtId="0" fontId="9" fillId="10" borderId="27" xfId="0" applyNumberFormat="1" applyFont="1" applyFill="1" applyBorder="1" applyAlignment="1">
      <x:alignment horizontal="center" vertical="center" wrapText="1"/>
    </x:xf>
    <x:xf numFmtId="0" fontId="9" fillId="10" borderId="27" xfId="0" applyNumberFormat="1" applyFont="1" applyFill="1" applyBorder="1" applyAlignment="1">
      <x:alignment horizontal="center" vertical="center" wrapText="0"/>
    </x:xf>
    <x:xf numFmtId="0" fontId="10" fillId="8" borderId="2" xfId="0" applyNumberFormat="1" applyFont="1" applyFill="1" applyBorder="1" applyAlignment="1">
      <x:alignment horizontal="center" vertical="center" wrapText="1"/>
    </x:xf>
    <x:xf numFmtId="0" fontId="10" fillId="8" borderId="27" xfId="0" applyNumberFormat="1" applyFont="1" applyFill="1" applyBorder="1" applyAlignment="1">
      <x:alignment horizontal="center" vertical="center" wrapText="1"/>
    </x:xf>
    <x:xf numFmtId="0" fontId="10" fillId="8" borderId="27" xfId="0" applyNumberFormat="1" applyFont="1" applyFill="1" applyBorder="1" applyAlignment="1">
      <x:alignment horizontal="center" vertical="center" wrapText="0"/>
    </x:xf>
    <x:xf numFmtId="0" fontId="5" fillId="11" borderId="3" xfId="0" applyNumberFormat="1" applyFont="1" applyFill="1" applyBorder="1" applyAlignment="1">
      <x:alignment vertical="center"/>
    </x:xf>
    <x:xf numFmtId="0" fontId="5" fillId="11" borderId="4" xfId="0" applyNumberFormat="1" applyFont="1" applyFill="1" applyBorder="1" applyAlignment="1">
      <x:alignment vertical="center"/>
    </x:xf>
    <x:xf numFmtId="200" fontId="5" fillId="11" borderId="5" xfId="0" applyNumberFormat="1" applyFont="1" applyFill="1" applyBorder="1" applyAlignment="1">
      <x:alignment vertical="center"/>
    </x:xf>
    <x:xf numFmtId="0" fontId="5" fillId="11" borderId="12" xfId="0" applyNumberFormat="1" applyFont="1" applyFill="1" applyBorder="1" applyAlignment="1">
      <x:alignment vertical="center"/>
    </x:xf>
    <x:xf numFmtId="0" fontId="5" fillId="11" borderId="6" xfId="0" applyNumberFormat="1" applyFont="1" applyFill="1" applyBorder="1" applyAlignment="1">
      <x:alignment vertical="center"/>
    </x:xf>
    <x:xf numFmtId="0" fontId="5" fillId="11" borderId="7" xfId="0" applyNumberFormat="1" applyFont="1" applyFill="1" applyBorder="1" applyAlignment="1">
      <x:alignment vertical="center"/>
    </x:xf>
    <x:xf numFmtId="200" fontId="5" fillId="11" borderId="8" xfId="0" applyNumberFormat="1" applyFont="1" applyFill="1" applyBorder="1" applyAlignment="1">
      <x:alignment vertical="center"/>
    </x:xf>
    <x:xf numFmtId="0" fontId="5" fillId="11" borderId="15" xfId="0" applyNumberFormat="1" applyFont="1" applyFill="1" applyBorder="1" applyAlignment="1">
      <x:alignment vertical="center"/>
    </x:xf>
    <x:xf numFmtId="0" fontId="5" fillId="11" borderId="9" xfId="0" applyNumberFormat="1" applyFont="1" applyFill="1" applyBorder="1" applyAlignment="1">
      <x:alignment vertical="center"/>
    </x:xf>
    <x:xf numFmtId="0" fontId="5" fillId="11" borderId="10" xfId="0" applyNumberFormat="1" applyFont="1" applyFill="1" applyBorder="1" applyAlignment="1">
      <x:alignment vertical="center"/>
    </x:xf>
    <x:xf numFmtId="200" fontId="5" fillId="11" borderId="11" xfId="0" applyNumberFormat="1" applyFont="1" applyFill="1" applyBorder="1" applyAlignment="1">
      <x:alignment vertical="center"/>
    </x:xf>
    <x:xf numFmtId="0" fontId="5" fillId="11" borderId="18" xfId="0" applyNumberFormat="1" applyFont="1" applyFill="1" applyBorder="1" applyAlignment="1">
      <x:alignment vertical="center"/>
    </x:xf>
    <x:xf numFmtId="201" fontId="5" fillId="12" borderId="13" xfId="0" applyNumberFormat="1" applyFont="1" applyFill="1" applyBorder="1" applyAlignment="1">
      <x:alignment vertical="center"/>
    </x:xf>
    <x:xf numFmtId="201" fontId="5" fillId="12" borderId="16" xfId="0" applyNumberFormat="1" applyFont="1" applyFill="1" applyBorder="1" applyAlignment="1">
      <x:alignment vertical="center"/>
    </x:xf>
    <x:xf numFmtId="201" fontId="5" fillId="12" borderId="19" xfId="0" applyNumberFormat="1" applyFont="1" applyFill="1" applyBorder="1" applyAlignment="1">
      <x:alignment vertical="center"/>
    </x:xf>
    <x:xf numFmtId="0" fontId="5" fillId="12" borderId="13" xfId="0" applyNumberFormat="1" applyFont="1" applyFill="1" applyBorder="1" applyAlignment="1">
      <x:alignment vertical="center"/>
    </x:xf>
    <x:xf numFmtId="0" fontId="5" fillId="12" borderId="16" xfId="0" applyNumberFormat="1" applyFont="1" applyFill="1" applyBorder="1" applyAlignment="1">
      <x:alignment vertical="center"/>
    </x:xf>
    <x:xf numFmtId="0" fontId="5" fillId="12" borderId="19" xfId="0" applyNumberFormat="1" applyFont="1" applyFill="1" applyBorder="1" applyAlignment="1">
      <x:alignment vertical="center"/>
    </x:xf>
    <x:xf numFmtId="200" fontId="5" fillId="13" borderId="13" xfId="0" applyNumberFormat="1" applyFont="1" applyFill="1" applyBorder="1" applyAlignment="1">
      <x:alignment vertical="center"/>
    </x:xf>
    <x:xf numFmtId="200" fontId="5" fillId="13" borderId="16" xfId="0" applyNumberFormat="1" applyFont="1" applyFill="1" applyBorder="1" applyAlignment="1">
      <x:alignment vertical="center"/>
    </x:xf>
    <x:xf numFmtId="200" fontId="5" fillId="13" borderId="19" xfId="0" applyNumberFormat="1" applyFont="1" applyFill="1" applyBorder="1" applyAlignment="1">
      <x:alignment vertical="center"/>
    </x:xf>
    <x:xf numFmtId="200" fontId="5" fillId="12" borderId="13" xfId="0" applyNumberFormat="1" applyFont="1" applyFill="1" applyBorder="1" applyAlignment="1">
      <x:alignment vertical="center"/>
    </x:xf>
    <x:xf numFmtId="200" fontId="5" fillId="12" borderId="16" xfId="0" applyNumberFormat="1" applyFont="1" applyFill="1" applyBorder="1" applyAlignment="1">
      <x:alignment vertical="center"/>
    </x:xf>
    <x:xf numFmtId="200" fontId="5" fillId="12" borderId="19" xfId="0" applyNumberFormat="1" applyFont="1" applyFill="1" applyBorder="1" applyAlignment="1">
      <x:alignment vertical="center"/>
    </x:xf>
    <x:xf numFmtId="202" fontId="5" fillId="13" borderId="13" xfId="0" applyNumberFormat="1" applyFont="1" applyFill="1" applyBorder="1" applyAlignment="1">
      <x:alignment vertical="center"/>
    </x:xf>
    <x:xf numFmtId="0" fontId="5" fillId="13" borderId="13" xfId="0" applyNumberFormat="1" applyFont="1" applyFill="1" applyBorder="1" applyAlignment="1">
      <x:alignment vertical="center"/>
    </x:xf>
    <x:xf numFmtId="203" fontId="5" fillId="13" borderId="13" xfId="0" applyNumberFormat="1" applyFont="1" applyFill="1" applyBorder="1" applyAlignment="1">
      <x:alignment vertical="center"/>
    </x:xf>
    <x:xf numFmtId="200" fontId="6" fillId="13" borderId="21" xfId="0" applyNumberFormat="1" applyFont="1" applyFill="1" applyBorder="1" applyAlignment="1">
      <x:alignment vertical="center"/>
    </x:xf>
    <x:xf numFmtId="204" fontId="5" fillId="13" borderId="13" xfId="0" applyNumberFormat="1" applyFont="1" applyFill="1" applyBorder="1" applyAlignment="1">
      <x:alignment vertical="center"/>
    </x:xf>
    <x:xf numFmtId="202" fontId="5" fillId="13" borderId="16" xfId="0" applyNumberFormat="1" applyFont="1" applyFill="1" applyBorder="1" applyAlignment="1">
      <x:alignment vertical="center"/>
    </x:xf>
    <x:xf numFmtId="0" fontId="5" fillId="13" borderId="16" xfId="0" applyNumberFormat="1" applyFont="1" applyFill="1" applyBorder="1" applyAlignment="1">
      <x:alignment vertical="center"/>
    </x:xf>
    <x:xf numFmtId="203" fontId="5" fillId="13" borderId="16" xfId="0" applyNumberFormat="1" applyFont="1" applyFill="1" applyBorder="1" applyAlignment="1">
      <x:alignment vertical="center"/>
    </x:xf>
    <x:xf numFmtId="200" fontId="6" fillId="13" borderId="22" xfId="0" applyNumberFormat="1" applyFont="1" applyFill="1" applyBorder="1" applyAlignment="1">
      <x:alignment vertical="center"/>
    </x:xf>
    <x:xf numFmtId="204" fontId="5" fillId="13" borderId="16" xfId="0" applyNumberFormat="1" applyFont="1" applyFill="1" applyBorder="1" applyAlignment="1">
      <x:alignment vertical="center"/>
    </x:xf>
    <x:xf numFmtId="202" fontId="5" fillId="13" borderId="19" xfId="0" applyNumberFormat="1" applyFont="1" applyFill="1" applyBorder="1" applyAlignment="1">
      <x:alignment vertical="center"/>
    </x:xf>
    <x:xf numFmtId="0" fontId="5" fillId="13" borderId="19" xfId="0" applyNumberFormat="1" applyFont="1" applyFill="1" applyBorder="1" applyAlignment="1">
      <x:alignment vertical="center"/>
    </x:xf>
    <x:xf numFmtId="203" fontId="5" fillId="13" borderId="19" xfId="0" applyNumberFormat="1" applyFont="1" applyFill="1" applyBorder="1" applyAlignment="1">
      <x:alignment vertical="center"/>
    </x:xf>
    <x:xf numFmtId="200" fontId="6" fillId="13" borderId="23" xfId="0" applyNumberFormat="1" applyFont="1" applyFill="1" applyBorder="1" applyAlignment="1">
      <x:alignment vertical="center"/>
    </x:xf>
    <x:xf numFmtId="204" fontId="5" fillId="13" borderId="19" xfId="0" applyNumberFormat="1" applyFont="1" applyFill="1" applyBorder="1" applyAlignment="1">
      <x:alignment vertical="center"/>
    </x:xf>
    <x:xf numFmtId="200" fontId="11" fillId="13" borderId="21" xfId="0" applyNumberFormat="1" applyFont="1" applyFill="1" applyBorder="1" applyAlignment="1">
      <x:alignment vertical="center"/>
    </x:xf>
    <x:xf numFmtId="200" fontId="11" fillId="13" borderId="22" xfId="0" applyNumberFormat="1" applyFont="1" applyFill="1" applyBorder="1" applyAlignment="1">
      <x:alignment vertical="center"/>
    </x:xf>
    <x:xf numFmtId="200" fontId="11" fillId="13" borderId="23" xfId="0" applyNumberFormat="1" applyFont="1" applyFill="1" applyBorder="1" applyAlignment="1">
      <x:alignment vertical="center"/>
    </x:xf>
    <x:xf numFmtId="205" fontId="5" fillId="11" borderId="13" xfId="0" applyNumberFormat="1" applyFont="1" applyFill="1" applyBorder="1" applyAlignment="1">
      <x:alignment vertical="center"/>
    </x:xf>
    <x:xf numFmtId="205" fontId="5" fillId="11" borderId="16" xfId="0" applyNumberFormat="1" applyFont="1" applyFill="1" applyBorder="1" applyAlignment="1">
      <x:alignment vertical="center"/>
    </x:xf>
    <x:xf numFmtId="205" fontId="5" fillId="11" borderId="19" xfId="0" applyNumberFormat="1" applyFont="1" applyFill="1" applyBorder="1" applyAlignment="1">
      <x:alignment vertical="center"/>
    </x:xf>
    <x:xf numFmtId="0" fontId="5" fillId="11" borderId="28" xfId="0" applyNumberFormat="1" applyFont="1" applyFill="1" applyBorder="1" applyAlignment="1">
      <x:alignment vertical="center"/>
    </x:xf>
    <x:xf numFmtId="200" fontId="5" fillId="11" borderId="28" xfId="0" applyNumberFormat="1" applyFont="1" applyFill="1" applyBorder="1" applyAlignment="1">
      <x:alignment vertical="center"/>
    </x:xf>
    <x:xf numFmtId="201" fontId="5" fillId="12" borderId="28" xfId="0" applyNumberFormat="1" applyFont="1" applyFill="1" applyBorder="1" applyAlignment="1">
      <x:alignment vertical="center"/>
    </x:xf>
    <x:xf numFmtId="0" fontId="5" fillId="12" borderId="28" xfId="0" applyNumberFormat="1" applyFont="1" applyFill="1" applyBorder="1" applyAlignment="1">
      <x:alignment vertical="center"/>
    </x:xf>
    <x:xf numFmtId="200" fontId="5" fillId="13" borderId="28" xfId="0" applyNumberFormat="1" applyFont="1" applyFill="1" applyBorder="1" applyAlignment="1">
      <x:alignment vertical="center"/>
    </x:xf>
    <x:xf numFmtId="200" fontId="5" fillId="12" borderId="28" xfId="0" applyNumberFormat="1" applyFont="1" applyFill="1" applyBorder="1" applyAlignment="1">
      <x:alignment vertical="center"/>
    </x:xf>
    <x:xf numFmtId="202" fontId="5" fillId="13" borderId="28" xfId="0" applyNumberFormat="1" applyFont="1" applyFill="1" applyBorder="1" applyAlignment="1">
      <x:alignment vertical="center"/>
    </x:xf>
    <x:xf numFmtId="0" fontId="5" fillId="13" borderId="28" xfId="0" applyNumberFormat="1" applyFont="1" applyFill="1" applyBorder="1" applyAlignment="1">
      <x:alignment vertical="center"/>
    </x:xf>
    <x:xf numFmtId="203" fontId="5" fillId="13" borderId="28" xfId="0" applyNumberFormat="1" applyFont="1" applyFill="1" applyBorder="1" applyAlignment="1">
      <x:alignment vertical="center"/>
    </x:xf>
    <x:xf numFmtId="200" fontId="11" fillId="13" borderId="28" xfId="0" applyNumberFormat="1" applyFont="1" applyFill="1" applyBorder="1" applyAlignment="1">
      <x:alignment vertical="center"/>
    </x:xf>
    <x:xf numFmtId="204" fontId="5" fillId="13" borderId="28" xfId="0" applyNumberFormat="1" applyFont="1" applyFill="1" applyBorder="1" applyAlignment="1">
      <x:alignment vertical="center"/>
    </x:xf>
    <x:xf numFmtId="205" fontId="5" fillId="11" borderId="28" xfId="0" applyNumberFormat="1" applyFont="1" applyFill="1" applyBorder="1" applyAlignment="1">
      <x:alignment vertical="center"/>
    </x:xf>
    <x:xf numFmtId="0" fontId="4" fillId="14" borderId="2" xfId="0" applyNumberFormat="1" applyFont="1" applyFill="1" applyBorder="1" applyAlignment="1">
      <x:alignment horizontal="center" vertical="center" wrapText="1"/>
    </x:xf>
    <x:xf numFmtId="0" fontId="0" fillId="14" borderId="0" xfId="0" applyNumberFormat="1" applyFont="1" applyFill="1" applyBorder="1"/>
    <x:xf numFmtId="205" fontId="5" fillId="14" borderId="13" xfId="0" applyNumberFormat="1" applyFont="1" applyFill="1" applyBorder="1" applyAlignment="1">
      <x:alignment vertical="center"/>
    </x:xf>
    <x:xf numFmtId="0" fontId="5" fillId="14" borderId="13" xfId="0" applyNumberFormat="1" applyFont="1" applyFill="1" applyBorder="1" applyAlignment="1">
      <x:alignment vertical="center"/>
    </x:xf>
    <x:xf numFmtId="0" fontId="5" fillId="14" borderId="14" xfId="0" applyNumberFormat="1" applyFont="1" applyFill="1" applyBorder="1" applyAlignment="1">
      <x:alignment vertical="center"/>
    </x:xf>
    <x:xf numFmtId="205" fontId="5" fillId="14" borderId="16" xfId="0" applyNumberFormat="1" applyFont="1" applyFill="1" applyBorder="1" applyAlignment="1">
      <x:alignment vertical="center"/>
    </x:xf>
    <x:xf numFmtId="0" fontId="5" fillId="14" borderId="16" xfId="0" applyNumberFormat="1" applyFont="1" applyFill="1" applyBorder="1" applyAlignment="1">
      <x:alignment vertical="center"/>
    </x:xf>
    <x:xf numFmtId="0" fontId="5" fillId="14" borderId="17" xfId="0" applyNumberFormat="1" applyFont="1" applyFill="1" applyBorder="1" applyAlignment="1">
      <x:alignment vertical="center"/>
    </x:xf>
    <x:xf numFmtId="205" fontId="5" fillId="14" borderId="19" xfId="0" applyNumberFormat="1" applyFont="1" applyFill="1" applyBorder="1" applyAlignment="1">
      <x:alignment vertical="center"/>
    </x:xf>
    <x:xf numFmtId="0" fontId="5" fillId="14" borderId="19" xfId="0" applyNumberFormat="1" applyFont="1" applyFill="1" applyBorder="1" applyAlignment="1">
      <x:alignment vertical="center"/>
    </x:xf>
    <x:xf numFmtId="0" fontId="5" fillId="14" borderId="20" xfId="0" applyNumberFormat="1" applyFont="1" applyFill="1" applyBorder="1" applyAlignment="1">
      <x:alignment vertical="center"/>
    </x:xf>
    <x:xf numFmtId="0" fontId="12" fillId="14" borderId="2" xfId="0" applyNumberFormat="1" applyFont="1" applyFill="1" applyBorder="1" applyAlignment="1">
      <x:alignment horizontal="center" vertical="center" wrapText="1"/>
    </x:xf>
    <x:xf numFmtId="0" fontId="13" fillId="14" borderId="0" xfId="0" applyNumberFormat="1" applyFont="1" applyFill="1" applyBorder="1"/>
    <x:xf numFmtId="205" fontId="14" fillId="14" borderId="13" xfId="0" applyNumberFormat="1" applyFont="1" applyFill="1" applyBorder="1" applyAlignment="1">
      <x:alignment vertical="center"/>
    </x:xf>
    <x:xf numFmtId="0" fontId="14" fillId="14" borderId="13" xfId="0" applyNumberFormat="1" applyFont="1" applyFill="1" applyBorder="1" applyAlignment="1">
      <x:alignment vertical="center"/>
    </x:xf>
    <x:xf numFmtId="0" fontId="14" fillId="14" borderId="14" xfId="0" applyNumberFormat="1" applyFont="1" applyFill="1" applyBorder="1" applyAlignment="1">
      <x:alignment vertical="center"/>
    </x:xf>
    <x:xf numFmtId="205" fontId="14" fillId="14" borderId="16" xfId="0" applyNumberFormat="1" applyFont="1" applyFill="1" applyBorder="1" applyAlignment="1">
      <x:alignment vertical="center"/>
    </x:xf>
    <x:xf numFmtId="0" fontId="14" fillId="14" borderId="16" xfId="0" applyNumberFormat="1" applyFont="1" applyFill="1" applyBorder="1" applyAlignment="1">
      <x:alignment vertical="center"/>
    </x:xf>
    <x:xf numFmtId="0" fontId="14" fillId="14" borderId="17" xfId="0" applyNumberFormat="1" applyFont="1" applyFill="1" applyBorder="1" applyAlignment="1">
      <x:alignment vertical="center"/>
    </x:xf>
    <x:xf numFmtId="205" fontId="14" fillId="14" borderId="19" xfId="0" applyNumberFormat="1" applyFont="1" applyFill="1" applyBorder="1" applyAlignment="1">
      <x:alignment vertical="center"/>
    </x:xf>
    <x:xf numFmtId="0" fontId="14" fillId="14" borderId="19" xfId="0" applyNumberFormat="1" applyFont="1" applyFill="1" applyBorder="1" applyAlignment="1">
      <x:alignment vertical="center"/>
    </x:xf>
    <x:xf numFmtId="0" fontId="14" fillId="14" borderId="20" xfId="0" applyNumberFormat="1" applyFont="1" applyFill="1" applyBorder="1" applyAlignment="1">
      <x:alignment vertical="center"/>
    </x:xf>
    <x:xf numFmtId="208" fontId="5" fillId="13" borderId="28" xfId="0" applyNumberFormat="1" applyFont="1" applyFill="1" applyBorder="1" applyAlignment="1">
      <x:alignment vertical="center"/>
    </x:xf>
    <x:xf numFmtId="209" fontId="5" fillId="13" borderId="28" xfId="0" applyNumberFormat="1" applyFont="1" applyFill="1" applyBorder="1" applyAlignment="1">
      <x:alignment vertical="center"/>
    </x:xf>
    <x:xf numFmtId="209" fontId="5" fillId="12" borderId="28" xfId="0" applyNumberFormat="1" applyFont="1" applyFill="1" applyBorder="1" applyAlignment="1">
      <x:alignment vertical="center"/>
    </x:xf>
    <x:xf numFmtId="207" fontId="5" fillId="13" borderId="28" xfId="0" applyNumberFormat="1" applyFont="1" applyFill="1" applyBorder="1" applyAlignment="1">
      <x:alignment vertical="center"/>
    </x:xf>
    <x:xf numFmtId="209" fontId="11" fillId="13" borderId="28" xfId="0" applyNumberFormat="1" applyFont="1" applyFill="1" applyBorder="1" applyAlignment="1">
      <x:alignment vertical="center"/>
    </x:xf>
    <x:xf numFmtId="208" fontId="13" fillId="14" borderId="0" xfId="0" applyNumberFormat="1" applyFont="1" applyFill="1" applyBorder="1"/>
    <x:xf numFmtId="0" fontId="8" fillId="15" borderId="27" xfId="0" applyNumberFormat="1" applyFont="1" applyFill="1" applyBorder="1" applyAlignment="1">
      <x:alignment horizontal="center" vertical="center" wrapText="0"/>
    </x:xf>
    <x:xf numFmtId="0" fontId="3" fillId="16" borderId="27" xfId="0" applyNumberFormat="1" applyFont="1" applyFill="1" applyBorder="1" applyAlignment="1">
      <x:alignment horizontal="center" vertical="center" wrapText="0"/>
    </x:xf>
    <x:xf numFmtId="0" fontId="9" fillId="17" borderId="27" xfId="0" applyNumberFormat="1" applyFont="1" applyFill="1" applyBorder="1" applyAlignment="1">
      <x:alignment horizontal="center" vertical="center" wrapText="0"/>
    </x:xf>
    <x:xf numFmtId="0" fontId="15" fillId="17" borderId="27" xfId="0" applyNumberFormat="1" applyFont="1" applyFill="1" applyBorder="1" applyAlignment="1">
      <x:alignment horizontal="center" vertical="center" wrapText="0"/>
    </x:xf>
    <x:xf numFmtId="0" fontId="10" fillId="15" borderId="27" xfId="0" applyNumberFormat="1" applyFont="1" applyFill="1" applyBorder="1" applyAlignment="1">
      <x:alignment horizontal="center" vertical="center" wrapText="0"/>
    </x:xf>
    <x:xf numFmtId="0" fontId="16" fillId="15" borderId="27" xfId="0" applyNumberFormat="1" applyFont="1" applyFill="1" applyBorder="1" applyAlignment="1">
      <x:alignment horizontal="center" vertical="center" wrapText="0"/>
    </x:xf>
    <x:xf numFmtId="0" fontId="5" fillId="18" borderId="28" xfId="0" applyNumberFormat="1" applyFont="1" applyFill="1" applyBorder="1" applyAlignment="1">
      <x:alignment vertical="center"/>
    </x:xf>
    <x:xf numFmtId="200" fontId="5" fillId="18" borderId="28" xfId="0" applyNumberFormat="1" applyFont="1" applyFill="1" applyBorder="1" applyAlignment="1">
      <x:alignment vertical="center"/>
    </x:xf>
    <x:xf numFmtId="201" fontId="5" fillId="19" borderId="28" xfId="0" applyNumberFormat="1" applyFont="1" applyFill="1" applyBorder="1" applyAlignment="1">
      <x:alignment vertical="center"/>
    </x:xf>
    <x:xf numFmtId="0" fontId="5" fillId="19" borderId="28" xfId="0" applyNumberFormat="1" applyFont="1" applyFill="1" applyBorder="1" applyAlignment="1">
      <x:alignment vertical="center"/>
    </x:xf>
    <x:xf numFmtId="208" fontId="5" fillId="20" borderId="28" xfId="0" applyNumberFormat="1" applyFont="1" applyFill="1" applyBorder="1" applyAlignment="1">
      <x:alignment vertical="center"/>
    </x:xf>
    <x:xf numFmtId="209" fontId="5" fillId="20" borderId="28" xfId="0" applyNumberFormat="1" applyFont="1" applyFill="1" applyBorder="1" applyAlignment="1">
      <x:alignment vertical="center"/>
    </x:xf>
    <x:xf numFmtId="209" fontId="5" fillId="19" borderId="28" xfId="0" applyNumberFormat="1" applyFont="1" applyFill="1" applyBorder="1" applyAlignment="1">
      <x:alignment vertical="center"/>
    </x:xf>
    <x:xf numFmtId="207" fontId="5" fillId="20" borderId="28" xfId="0" applyNumberFormat="1" applyFont="1" applyFill="1" applyBorder="1" applyAlignment="1">
      <x:alignment vertical="center"/>
    </x:xf>
    <x:xf numFmtId="203" fontId="5" fillId="20" borderId="28" xfId="0" applyNumberFormat="1" applyFont="1" applyFill="1" applyBorder="1" applyAlignment="1">
      <x:alignment vertical="center"/>
    </x:xf>
    <x:xf numFmtId="209" fontId="11" fillId="20" borderId="28" xfId="0" applyNumberFormat="1" applyFont="1" applyFill="1" applyBorder="1" applyAlignment="1">
      <x:alignment vertical="center"/>
    </x:xf>
    <x:xf numFmtId="205" fontId="5" fillId="18" borderId="28" xfId="0" applyNumberFormat="1" applyFont="1" applyFill="1" applyBorder="1" applyAlignment="1">
      <x:alignment vertical="center"/>
    </x:xf>
    <x:xf numFmtId="0" fontId="12" fillId="21" borderId="2" xfId="0" applyNumberFormat="1" applyFont="1" applyFill="1" applyBorder="1" applyAlignment="1">
      <x:alignment horizontal="center" vertical="center" wrapText="1"/>
    </x:xf>
    <x:xf numFmtId="0" fontId="13" fillId="21" borderId="0" xfId="0" applyNumberFormat="1" applyFont="1" applyFill="1" applyBorder="1"/>
    <x:xf numFmtId="205" fontId="14" fillId="21" borderId="13" xfId="0" applyNumberFormat="1" applyFont="1" applyFill="1" applyBorder="1" applyAlignment="1">
      <x:alignment vertical="center"/>
    </x:xf>
    <x:xf numFmtId="0" fontId="14" fillId="21" borderId="13" xfId="0" applyNumberFormat="1" applyFont="1" applyFill="1" applyBorder="1" applyAlignment="1">
      <x:alignment vertical="center"/>
    </x:xf>
    <x:xf numFmtId="0" fontId="14" fillId="21" borderId="14" xfId="0" applyNumberFormat="1" applyFont="1" applyFill="1" applyBorder="1" applyAlignment="1">
      <x:alignment vertical="center"/>
    </x:xf>
    <x:xf numFmtId="208" fontId="13" fillId="21" borderId="0" xfId="0" applyNumberFormat="1" applyFont="1" applyFill="1" applyBorder="1"/>
    <x:xf numFmtId="205" fontId="14" fillId="21" borderId="16" xfId="0" applyNumberFormat="1" applyFont="1" applyFill="1" applyBorder="1" applyAlignment="1">
      <x:alignment vertical="center"/>
    </x:xf>
    <x:xf numFmtId="0" fontId="14" fillId="21" borderId="16" xfId="0" applyNumberFormat="1" applyFont="1" applyFill="1" applyBorder="1" applyAlignment="1">
      <x:alignment vertical="center"/>
    </x:xf>
    <x:xf numFmtId="0" fontId="14" fillId="21" borderId="17" xfId="0" applyNumberFormat="1" applyFont="1" applyFill="1" applyBorder="1" applyAlignment="1">
      <x:alignment vertical="center"/>
    </x:xf>
    <x:xf numFmtId="205" fontId="14" fillId="21" borderId="19" xfId="0" applyNumberFormat="1" applyFont="1" applyFill="1" applyBorder="1" applyAlignment="1">
      <x:alignment vertical="center"/>
    </x:xf>
    <x:xf numFmtId="0" fontId="14" fillId="21" borderId="19" xfId="0" applyNumberFormat="1" applyFont="1" applyFill="1" applyBorder="1" applyAlignment="1">
      <x:alignment vertical="center"/>
    </x:xf>
    <x:xf numFmtId="0" fontId="14" fillId="21" borderId="20" xfId="0" applyNumberFormat="1" applyFont="1" applyFill="1" applyBorder="1" applyAlignment="1">
      <x:alignment vertical="center"/>
    </x:xf>
  </x:cellXfs>
  <x:cellStyles count="1">
    <x:cellStyle name="Normal" xfId="0"/>
  </x:cellStyles>
  <x:dxfs count="4">
    <x:dxf>
      <x:font>
        <x:b/>
        <x:color rgb="FF137333"/>
      </x:font>
      <x:fill>
        <x:patternFill>
          <x:bgColor rgb="FFE6F4EA"/>
        </x:patternFill>
      </x:fill>
    </x:dxf>
    <x:dxf>
      <x:font>
        <x:b/>
        <x:color rgb="FFB06000"/>
      </x:font>
      <x:fill>
        <x:patternFill>
          <x:bgColor rgb="FFFEF7E0"/>
        </x:patternFill>
      </x:fill>
    </x:dxf>
    <x:dxf>
      <x:font>
        <x:b/>
        <x:color rgb="FFB06000"/>
      </x:font>
      <x:fill>
        <x:patternFill>
          <x:bgColor rgb="FFFEF7E0"/>
        </x:patternFill>
      </x:fill>
    </x:dxf>
    <x:dxf>
      <x:font>
        <x:b/>
        <x:color rgb="FFB06000"/>
      </x:font>
      <x:fill>
        <x:patternFill>
          <x:bgColor rgb="FFFEF7E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6a3944a5c247ca" /><Relationship Type="http://schemas.openxmlformats.org/officeDocument/2006/relationships/theme" Target="/xl/theme/theme1.xml" Id="Rd2ef35fe0bd147bb" /><Relationship Type="http://schemas.openxmlformats.org/officeDocument/2006/relationships/sharedStrings" Target="/xl/sharedStrings.xml" Id="R9ff43bd917254866" /><Relationship Type="http://schemas.openxmlformats.org/officeDocument/2006/relationships/worksheet" Target="/xl/worksheets/sheet1.xml" Id="R3e07063c1d9740eb" /><Relationship Type="http://schemas.openxmlformats.org/officeDocument/2006/relationships/worksheet" Target="/xl/worksheets/sheet2.xml" Id="Re238dc25ef2f4b34" /></Relationships>
</file>

<file path=xl/tables/table1.xml><?xml version="1.0" encoding="utf-8"?>
<x:table xmlns:x="http://schemas.openxmlformats.org/spreadsheetml/2006/main" id="1" name="EmployeeMerit2026" displayName="EmployeeMerit2026" ref="A4:S354" headerRowCount="1" totalsRowCount="0" totalsRowShown="0">
  <x:autoFilter ref="A4:S354"/>
  <x:tableColumns count="19">
    <x:tableColumn id="1" name="Assignment Number"/>
    <x:tableColumn id="2" name="Job Title"/>
    <x:tableColumn id="3" name="Hourly Pay Rate"/>
    <x:tableColumn id="4" name="Supplier Type"/>
    <x:tableColumn id="5" name="Markup Factor"/>
    <x:tableColumn id="6" name="Salary Scale"/>
    <x:tableColumn id="7" name="Midpoint"/>
    <x:tableColumn id="8" name="Midpoint Hourly"/>
    <x:tableColumn id="9" name="Year Salary"/>
    <x:tableColumn id="10" name="Position in Range"/>
    <x:tableColumn id="11" name="Range Band"/>
    <x:tableColumn id="12" name="Increase %"/>
    <x:tableColumn id="13" name="Increase EUR / Hour"/>
    <x:tableColumn id="14" name="New Pay Rate"/>
    <x:tableColumn id="15" name="New Bill Rate"/>
    <x:tableColumn id="16" name="Annual Increase"/>
    <x:tableColumn id="17" name="New Annual Salary"/>
    <x:tableColumn id="18" name="Action"/>
    <x:tableColumn id="19"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64b448fa5841b3" /></Relationships>
</file>

<file path=xl/worksheets/sheet1.xml><?xml version="1.0" encoding="utf-8"?>
<x:worksheet xmlns:x="http://schemas.openxmlformats.org/spreadsheetml/2006/main">
  <x:sheetViews>
    <x:sheetView showGridLines="0" workbookViewId="0"/>
  </x:sheetViews>
  <x:sheetFormatPr defaultRowHeight="15"/>
  <x:cols>
    <x:col min="21" max="21" width="0" hidden="1" customWidth="1"/>
    <x:col min="1" max="1" width="14" hidden="0" customWidth="1"/>
    <x:col min="2" max="2" width="12" hidden="0" customWidth="1"/>
    <x:col min="3" max="3" width="22" hidden="0" customWidth="1"/>
    <x:col min="4" max="4" width="14" hidden="0" customWidth="1"/>
    <x:col min="5" max="5" width="16" hidden="0" customWidth="1"/>
    <x:col min="6" max="6" width="2.200000047683716" hidden="0" customWidth="1"/>
    <x:col min="7" max="7" width="13" hidden="0" customWidth="1"/>
    <x:col min="8" max="8" width="10" hidden="0" customWidth="1"/>
    <x:col min="9" max="9" width="18" hidden="0" customWidth="1"/>
    <x:col min="10" max="10" width="16" hidden="0" customWidth="1"/>
    <x:col min="11" max="11" width="22" hidden="0" customWidth="1"/>
    <x:col min="12" max="12" width="14" hidden="0" customWidth="1"/>
    <x:col min="13" max="13" width="18" hidden="0" customWidth="1"/>
    <x:col min="14" max="14" width="17" hidden="0" customWidth="1"/>
    <x:col min="15" max="15" width="17" hidden="0" customWidth="1"/>
    <x:col min="16" max="16" width="9" hidden="0" customWidth="1"/>
    <x:col min="17" max="17" width="0" hidden="1" customWidth="1"/>
    <x:col min="18" max="18" width="0" hidden="1" customWidth="1"/>
    <x:col min="19" max="19" width="0" hidden="1" customWidth="1"/>
    <x:col min="20" max="20" width="0" hidden="1" customWidth="1"/>
    <x:col min="22" max="22" width="0" hidden="1" customWidth="1"/>
    <x:col min="23" max="23" width="0" hidden="1" customWidth="1"/>
    <x:col min="24" max="24" width="0" hidden="1" customWidth="1"/>
    <x:col min="25" max="25" width="0" hidden="1" customWidth="1"/>
  </x:cols>
  <x:sheetData>
    <x:row r="1" ht="38" customHeight="1">
      <x:c r="A1" s="3" t="str">
        <x:v>Employee Merit Increase 2026</x:v>
      </x:c>
      <x:c r="B1" s="3" t="str">
        <x:v>Employee Merit Increase 2026</x:v>
      </x:c>
      <x:c r="C1" s="3" t="str">
        <x:v>Employee Merit Increase 2026</x:v>
      </x:c>
      <x:c r="D1" s="3" t="str">
        <x:v>Employee Merit Increase 2026</x:v>
      </x:c>
      <x:c r="E1" s="3" t="str">
        <x:v>Employee Merit Increase 2026</x:v>
      </x:c>
      <x:c r="F1" s="3" t="str">
        <x:v>Employee Merit Increase 2026</x:v>
      </x:c>
      <x:c r="G1" s="3" t="str">
        <x:v>Employee Merit Increase 2026</x:v>
      </x:c>
      <x:c r="H1" s="3" t="str">
        <x:v>Employee Merit Increase 2026</x:v>
      </x:c>
      <x:c r="I1" s="3" t="str">
        <x:v>Employee Merit Increase 2026</x:v>
      </x:c>
      <x:c r="J1" s="3" t="str">
        <x:v>Employee Merit Increase 2026</x:v>
      </x:c>
      <x:c r="K1" s="3" t="str">
        <x:v>Employee Merit Increase 2026</x:v>
      </x:c>
      <x:c r="L1" s="3" t="str">
        <x:v>Employee Merit Increase 2026</x:v>
      </x:c>
      <x:c r="M1" s="3" t="str">
        <x:v>Employee Merit Increase 2026</x:v>
      </x:c>
      <x:c r="N1" s="3" t="str">
        <x:v>Employee Merit Increase 2026</x:v>
      </x:c>
      <x:c r="O1" s="3" t="str">
        <x:v>Employee Merit Increase 2026</x:v>
      </x:c>
      <x:c r="P1" s="3" t="str">
        <x:v>Employee Merit Increase 2026</x:v>
      </x:c>
      <x:c r="Q1" s="3"/>
      <x:c r="R1" s="3"/>
      <x:c r="S1" s="3"/>
      <x:c r="U1" t="str">
        <x:v>Job Title Dropdown Source</x:v>
      </x:c>
    </x:row>
    <x:row r="2" ht="27" customHeight="1">
      <x:c r="A2" s="6" t="str">
        <x:v>Enter Report To, Assign #, Agency Worker, Supplier, Job Title, Hourly pay rate and MSP in the input columns. The workbook keeps the existing Merit 2026 calculation rules for midpoint, range position, increase and bill rate.</x:v>
      </x:c>
      <x:c r="B2" s="6" t="str">
        <x:v>Enter Report To, Assign #, Agency Worker, Supplier, Job Title, Hourly pay rate and MSP in the input columns. The workbook keeps the existing Merit 2026 calculation rules for midpoint, range position, increase and bill rate.</x:v>
      </x:c>
      <x:c r="C2" s="6" t="str">
        <x:v>Enter Report To, Assign #, Agency Worker, Supplier, Job Title, Hourly pay rate and MSP in the input columns. The workbook keeps the existing Merit 2026 calculation rules for midpoint, range position, increase and bill rate.</x:v>
      </x:c>
      <x:c r="D2" s="6" t="str">
        <x:v>Enter Report To, Assign #, Agency Worker, Supplier, Job Title, Hourly pay rate and MSP in the input columns. The workbook keeps the existing Merit 2026 calculation rules for midpoint, range position, increase and bill rate.</x:v>
      </x:c>
      <x:c r="E2" s="6" t="str">
        <x:v>Enter Report To, Assign #, Agency Worker, Supplier, Job Title, Hourly pay rate and MSP in the input columns. The workbook keeps the existing Merit 2026 calculation rules for midpoint, range position, increase and bill rate.</x:v>
      </x:c>
      <x:c r="F2" s="6" t="str">
        <x:v>Enter Report To, Assign #, Agency Worker, Supplier, Job Title, Hourly pay rate and MSP in the input columns. The workbook keeps the existing Merit 2026 calculation rules for midpoint, range position, increase and bill rate.</x:v>
      </x:c>
      <x:c r="G2" s="6" t="str">
        <x:v>Enter Report To, Assign #, Agency Worker, Supplier, Job Title, Hourly pay rate and MSP in the input columns. The workbook keeps the existing Merit 2026 calculation rules for midpoint, range position, increase and bill rate.</x:v>
      </x:c>
      <x:c r="H2" s="6" t="str">
        <x:v>Enter Report To, Assign #, Agency Worker, Supplier, Job Title, Hourly pay rate and MSP in the input columns. The workbook keeps the existing Merit 2026 calculation rules for midpoint, range position, increase and bill rate.</x:v>
      </x:c>
      <x:c r="I2" s="6" t="str">
        <x:v>Enter Report To, Assign #, Agency Worker, Supplier, Job Title, Hourly pay rate and MSP in the input columns. The workbook keeps the existing Merit 2026 calculation rules for midpoint, range position, increase and bill rate.</x:v>
      </x:c>
      <x:c r="J2" s="6" t="str">
        <x:v>Enter Report To, Assign #, Agency Worker, Supplier, Job Title, Hourly pay rate and MSP in the input columns. The workbook keeps the existing Merit 2026 calculation rules for midpoint, range position, increase and bill rate.</x:v>
      </x:c>
      <x:c r="K2" s="6" t="str">
        <x:v>Enter Report To, Assign #, Agency Worker, Supplier, Job Title, Hourly pay rate and MSP in the input columns. The workbook keeps the existing Merit 2026 calculation rules for midpoint, range position, increase and bill rate.</x:v>
      </x:c>
      <x:c r="L2" s="6" t="str">
        <x:v>Enter Report To, Assign #, Agency Worker, Supplier, Job Title, Hourly pay rate and MSP in the input columns. The workbook keeps the existing Merit 2026 calculation rules for midpoint, range position, increase and bill rate.</x:v>
      </x:c>
      <x:c r="M2" s="6" t="str">
        <x:v>Enter Report To, Assign #, Agency Worker, Supplier, Job Title, Hourly pay rate and MSP in the input columns. The workbook keeps the existing Merit 2026 calculation rules for midpoint, range position, increase and bill rate.</x:v>
      </x:c>
      <x:c r="N2" s="6" t="str">
        <x:v>Enter Report To, Assign #, Agency Worker, Supplier, Job Title, Hourly pay rate and MSP in the input columns. The workbook keeps the existing Merit 2026 calculation rules for midpoint, range position, increase and bill rate.</x:v>
      </x:c>
      <x:c r="O2" s="6" t="str">
        <x:v>Enter Report To, Assign #, Agency Worker, Supplier, Job Title, Hourly pay rate and MSP in the input columns. The workbook keeps the existing Merit 2026 calculation rules for midpoint, range position, increase and bill rate.</x:v>
      </x:c>
      <x:c r="P2" s="6" t="str">
        <x:v>Enter Report To, Assign #, Agency Worker, Supplier, Job Title, Hourly pay rate and MSP in the input columns. The workbook keeps the existing Merit 2026 calculation rules for midpoint, range position, increase and bill rate.</x:v>
      </x:c>
      <x:c r="Q2" s="6"/>
      <x:c r="R2" s="6"/>
      <x:c r="S2" s="6"/>
      <x:c r="U2" t="str">
        <x:v>Accountant - II - Finance &amp; Legal (B Support / Professional) - P2</x:v>
      </x:c>
    </x:row>
    <x:row r="3">
      <x:c r="U3" t="str">
        <x:v>Accountant - III - Finance &amp; Legal (B Support / Professional) - P3</x:v>
      </x:c>
    </x:row>
    <x:row r="4" ht="36" customHeight="1">
      <x:c r="A4" s="199" t="str">
        <x:v>Report To</x:v>
      </x:c>
      <x:c r="B4" s="199" t="str">
        <x:v>Assign #</x:v>
      </x:c>
      <x:c r="C4" s="199" t="str">
        <x:v>Agency Worker</x:v>
      </x:c>
      <x:c r="D4" s="199" t="str">
        <x:v>Supplier</x:v>
      </x:c>
      <x:c r="E4" s="200" t="str">
        <x:v>Job Title</x:v>
      </x:c>
      <x:c r="F4" s="200" t="str"/>
      <x:c r="G4" s="200" t="str">
        <x:v>Midpoint</x:v>
      </x:c>
      <x:c r="H4" s="200" t="str">
        <x:v>Hourly</x:v>
      </x:c>
      <x:c r="I4" s="202" t="str">
        <x:v>Hourly pay rate</x:v>
      </x:c>
      <x:c r="J4" s="202" t="str">
        <x:v>Year salary</x:v>
      </x:c>
      <x:c r="K4" s="202" t="str">
        <x:v>Position in range</x:v>
      </x:c>
      <x:c r="L4" s="202" t="str">
        <x:v>Increase %</x:v>
      </x:c>
      <x:c r="M4" s="202" t="str">
        <x:v>Increase euro</x:v>
      </x:c>
      <x:c r="N4" s="202" t="str">
        <x:v>new pay rate</x:v>
      </x:c>
      <x:c r="O4" s="202" t="str">
        <x:v>New bill rate</x:v>
      </x:c>
      <x:c r="P4" s="204" t="str">
        <x:v>MSP</x:v>
      </x:c>
      <x:c r="Q4" s="216" t="str">
        <x:v>Supplier Type</x:v>
      </x:c>
      <x:c r="R4" s="216" t="str">
        <x:v>Markup Factor</x:v>
      </x:c>
      <x:c r="S4" s="216" t="str">
        <x:v>Salary Scale</x:v>
      </x:c>
      <x:c r="T4" s="217" t="str">
        <x:v>Range Band</x:v>
      </x:c>
      <x:c r="U4" s="217" t="str">
        <x:v>Administrative Assistant - II - Business Support (A) Admin/Finance/HR - B2</x:v>
      </x:c>
      <x:c r="V4" s="217" t="str">
        <x:v>Annual Increase</x:v>
      </x:c>
      <x:c r="W4" s="217" t="str">
        <x:v>New Annual Salary</x:v>
      </x:c>
      <x:c r="X4" s="217" t="str">
        <x:v>Action</x:v>
      </x:c>
      <x:c r="Y4" s="217" t="str">
        <x:v>Status</x:v>
      </x:c>
    </x:row>
    <x:row r="5" ht="22" customHeight="1">
      <x:c r="A5" s="205"/>
      <x:c r="B5" s="205"/>
      <x:c r="C5" s="206"/>
      <x:c r="D5" s="205"/>
      <x:c r="E5" s="207"/>
      <x:c r="F5" s="208"/>
      <x:c r="G5" s="209" t="str">
        <x:f>IF($S5="","",IFERROR(VLOOKUP($S5,'Data'!$D$2:$G$14,3,FALSE),""))</x:f>
      </x:c>
      <x:c r="H5" s="210" t="str">
        <x:f>IF($G5="","",$G5/'Data'!$O$2/'Data'!$O$3)</x:f>
      </x:c>
      <x:c r="I5" s="211"/>
      <x:c r="J5" s="209" t="str">
        <x:f>IF(OR($E5="",$I5=""),"",$I5*'Data'!$O$2*'Data'!$O$3)</x:f>
      </x:c>
      <x:c r="K5" s="212" t="str">
        <x:f>IF(OR($J5="",$G5=""),"",$J5/$G5)</x:f>
      </x:c>
      <x:c r="L5" s="213" t="str">
        <x:f>IF($K5="","",VLOOKUP($K5,'Data'!$I$2:$L$6,3,TRUE))</x:f>
      </x:c>
      <x:c r="M5" s="210" t="str">
        <x:f>IF($L5="","",$I5*$L5)</x:f>
      </x:c>
      <x:c r="N5" s="214" t="str">
        <x:f>IF($M5="","",ROUNDDOWN($I5+$M5,2))</x:f>
      </x:c>
      <x:c r="O5" s="210" t="str">
        <x:f>IF($N5="","",ROUNDDOWN(ROUNDDOWN($N5,2)*$R5,3))</x:f>
      </x:c>
      <x:c r="P5" s="215"/>
      <x:c r="Q5" s="218" t="str">
        <x:f>IF($E5="","",IF(OR(RIGHT(UPPER(TRIM(SUBSTITUTE(CLEAN($E5),CHAR(160)," "))),2)="P1",RIGHT(UPPER(TRIM(SUBSTITUTE(CLEAN($E5),CHAR(160)," "))),2)="P2",RIGHT(UPPER(TRIM(SUBSTITUTE(CLEAN($E5),CHAR(160)," "))),2)="P3",RIGHT(UPPER(TRIM(SUBSTITUTE(CLEAN($E5),CHAR(160)," "))),2)="P4",ISNUMBER(SEARCH("INDUSTRIAL HYGIENIST 1 ENVIRONMENT",UPPER(TRIM(SUBSTITUTE(CLEAN($E5),CHAR(160)," ")))))),"PS","GS"))</x:f>
      </x:c>
      <x:c r="R5" s="219" t="str">
        <x:f>IF($Q5="","",IF($Q5="PS",'Data'!$O$5,'Data'!$O$4))</x:f>
      </x:c>
      <x:c r="S5" s="220" t="str">
        <x:f>IF($E5="","",IFERROR(VLOOKUP($E5,'Data'!$A$2:$B$114,2,FALSE),""))</x:f>
      </x:c>
      <x:c r="T5" s="217" t="str">
        <x:f>IF($K5="","",VLOOKUP($K5,'Data'!$I$2:$L$6,2,TRUE))</x:f>
      </x:c>
      <x:c r="U5" s="217" t="str">
        <x:v>Administrative Assistant - III - Business Support (A) Admin/Finance/HR - B3</x:v>
      </x:c>
      <x:c r="V5" s="221" t="str">
        <x:f>IF($L5="","",$J5*$L5)</x:f>
      </x:c>
      <x:c r="W5" s="221" t="str">
        <x:f>IF($V5="","",$J5+$V5)</x:f>
      </x:c>
      <x:c r="X5" s="217" t="str">
        <x:f>IF($Y5="Ready","Review and inform supplier","")</x:f>
      </x:c>
      <x:c r="Y5" s="217" t="str">
        <x:f>IF(AND($B5="",$E5="",$I5=""),"",IF($B5="","Missing Assignment Number",IF($E5="","Select Job Title",IF($I5="","Enter Pay Rate",IF($S5="","Job Title not found","Ready")))))</x:f>
      </x:c>
    </x:row>
    <x:row r="6" ht="22" customHeight="1">
      <x:c r="A6" s="205"/>
      <x:c r="B6" s="205"/>
      <x:c r="C6" s="206"/>
      <x:c r="D6" s="205"/>
      <x:c r="E6" s="207"/>
      <x:c r="F6" s="208"/>
      <x:c r="G6" s="209" t="str">
        <x:f>IF($S6="","",IFERROR(VLOOKUP($S6,'Data'!$D$2:$G$14,3,FALSE),""))</x:f>
      </x:c>
      <x:c r="H6" s="210" t="str">
        <x:f>IF($G6="","",$G6/'Data'!$O$2/'Data'!$O$3)</x:f>
      </x:c>
      <x:c r="I6" s="211"/>
      <x:c r="J6" s="209" t="str">
        <x:f>IF(OR($E6="",$I6=""),"",$I6*'Data'!$O$2*'Data'!$O$3)</x:f>
      </x:c>
      <x:c r="K6" s="212" t="str">
        <x:f>IF(OR($J6="",$G6=""),"",$J6/$G6)</x:f>
      </x:c>
      <x:c r="L6" s="213" t="str">
        <x:f>IF($K6="","",VLOOKUP($K6,'Data'!$I$2:$L$6,3,TRUE))</x:f>
      </x:c>
      <x:c r="M6" s="210" t="str">
        <x:f>IF($L6="","",$I6*$L6)</x:f>
      </x:c>
      <x:c r="N6" s="214" t="str">
        <x:f>IF($M6="","",ROUNDDOWN($I6+$M6,2))</x:f>
      </x:c>
      <x:c r="O6" s="210" t="str">
        <x:f>IF($N6="","",ROUNDDOWN(ROUNDDOWN($N6,2)*$R6,3))</x:f>
      </x:c>
      <x:c r="P6" s="215"/>
      <x:c r="Q6" s="222" t="str">
        <x:f>IF($E6="","",IF(OR(RIGHT(UPPER(TRIM(SUBSTITUTE(CLEAN($E6),CHAR(160)," "))),2)="P1",RIGHT(UPPER(TRIM(SUBSTITUTE(CLEAN($E6),CHAR(160)," "))),2)="P2",RIGHT(UPPER(TRIM(SUBSTITUTE(CLEAN($E6),CHAR(160)," "))),2)="P3",RIGHT(UPPER(TRIM(SUBSTITUTE(CLEAN($E6),CHAR(160)," "))),2)="P4",ISNUMBER(SEARCH("INDUSTRIAL HYGIENIST 1 ENVIRONMENT",UPPER(TRIM(SUBSTITUTE(CLEAN($E6),CHAR(160)," ")))))),"PS","GS"))</x:f>
      </x:c>
      <x:c r="R6" s="223" t="str">
        <x:f>IF($Q6="","",IF($Q6="PS",'Data'!$O$5,'Data'!$O$4))</x:f>
      </x:c>
      <x:c r="S6" s="224" t="str">
        <x:f>IF($E6="","",IFERROR(VLOOKUP($E6,'Data'!$A$2:$B$114,2,FALSE),""))</x:f>
      </x:c>
      <x:c r="T6" s="217" t="str">
        <x:f>IF($K6="","",VLOOKUP($K6,'Data'!$I$2:$L$6,2,TRUE))</x:f>
      </x:c>
      <x:c r="U6" s="217" t="str">
        <x:v>Analytical Chemist - I - LAB (B Support / Research) - R1</x:v>
      </x:c>
      <x:c r="V6" s="221" t="str">
        <x:f>IF($L6="","",$J6*$L6)</x:f>
      </x:c>
      <x:c r="W6" s="221" t="str">
        <x:f>IF($V6="","",$J6+$V6)</x:f>
      </x:c>
      <x:c r="X6" s="217" t="str">
        <x:f>IF($Y6="Ready","Review and inform supplier","")</x:f>
      </x:c>
      <x:c r="Y6" s="217" t="str">
        <x:f>IF(AND($B6="",$E6="",$I6=""),"",IF($B6="","Missing Assignment Number",IF($E6="","Select Job Title",IF($I6="","Enter Pay Rate",IF($S6="","Job Title not found","Ready")))))</x:f>
      </x:c>
    </x:row>
    <x:row r="7" ht="22" customHeight="1">
      <x:c r="A7" s="205"/>
      <x:c r="B7" s="205"/>
      <x:c r="C7" s="206"/>
      <x:c r="D7" s="205"/>
      <x:c r="E7" s="207"/>
      <x:c r="F7" s="208"/>
      <x:c r="G7" s="209" t="str">
        <x:f>IF($S7="","",IFERROR(VLOOKUP($S7,'Data'!$D$2:$G$14,3,FALSE),""))</x:f>
      </x:c>
      <x:c r="H7" s="210" t="str">
        <x:f>IF($G7="","",$G7/'Data'!$O$2/'Data'!$O$3)</x:f>
      </x:c>
      <x:c r="I7" s="211"/>
      <x:c r="J7" s="209" t="str">
        <x:f>IF(OR($E7="",$I7=""),"",$I7*'Data'!$O$2*'Data'!$O$3)</x:f>
      </x:c>
      <x:c r="K7" s="212" t="str">
        <x:f>IF(OR($J7="",$G7=""),"",$J7/$G7)</x:f>
      </x:c>
      <x:c r="L7" s="213" t="str">
        <x:f>IF($K7="","",VLOOKUP($K7,'Data'!$I$2:$L$6,3,TRUE))</x:f>
      </x:c>
      <x:c r="M7" s="210" t="str">
        <x:f>IF($L7="","",$I7*$L7)</x:f>
      </x:c>
      <x:c r="N7" s="214" t="str">
        <x:f>IF($M7="","",ROUNDDOWN($I7+$M7,2))</x:f>
      </x:c>
      <x:c r="O7" s="210" t="str">
        <x:f>IF($N7="","",ROUNDDOWN(ROUNDDOWN($N7,2)*$R7,3))</x:f>
      </x:c>
      <x:c r="P7" s="215"/>
      <x:c r="Q7" s="222" t="str">
        <x:f>IF($E7="","",IF(OR(RIGHT(UPPER(TRIM(SUBSTITUTE(CLEAN($E7),CHAR(160)," "))),2)="P1",RIGHT(UPPER(TRIM(SUBSTITUTE(CLEAN($E7),CHAR(160)," "))),2)="P2",RIGHT(UPPER(TRIM(SUBSTITUTE(CLEAN($E7),CHAR(160)," "))),2)="P3",RIGHT(UPPER(TRIM(SUBSTITUTE(CLEAN($E7),CHAR(160)," "))),2)="P4",ISNUMBER(SEARCH("INDUSTRIAL HYGIENIST 1 ENVIRONMENT",UPPER(TRIM(SUBSTITUTE(CLEAN($E7),CHAR(160)," ")))))),"PS","GS"))</x:f>
      </x:c>
      <x:c r="R7" s="223" t="str">
        <x:f>IF($Q7="","",IF($Q7="PS",'Data'!$O$5,'Data'!$O$4))</x:f>
      </x:c>
      <x:c r="S7" s="224" t="str">
        <x:f>IF($E7="","",IFERROR(VLOOKUP($E7,'Data'!$A$2:$B$114,2,FALSE),""))</x:f>
      </x:c>
      <x:c r="T7" s="217" t="str">
        <x:f>IF($K7="","",VLOOKUP($K7,'Data'!$I$2:$L$6,2,TRUE))</x:f>
      </x:c>
      <x:c r="U7" s="217" t="str">
        <x:v>Assembler - II - Production &amp; Operations Support (T): Industrial - O2 (Low)</x:v>
      </x:c>
      <x:c r="V7" s="221" t="str">
        <x:f>IF($L7="","",$J7*$L7)</x:f>
      </x:c>
      <x:c r="W7" s="221" t="str">
        <x:f>IF($V7="","",$J7+$V7)</x:f>
      </x:c>
      <x:c r="X7" s="217" t="str">
        <x:f>IF($Y7="Ready","Review and inform supplier","")</x:f>
      </x:c>
      <x:c r="Y7" s="217" t="str">
        <x:f>IF(AND($B7="",$E7="",$I7=""),"",IF($B7="","Missing Assignment Number",IF($E7="","Select Job Title",IF($I7="","Enter Pay Rate",IF($S7="","Job Title not found","Ready")))))</x:f>
      </x:c>
    </x:row>
    <x:row r="8" ht="22" customHeight="1">
      <x:c r="A8" s="205"/>
      <x:c r="B8" s="205"/>
      <x:c r="C8" s="206"/>
      <x:c r="D8" s="205"/>
      <x:c r="E8" s="207"/>
      <x:c r="F8" s="208"/>
      <x:c r="G8" s="209" t="str">
        <x:f>IF($S8="","",IFERROR(VLOOKUP($S8,'Data'!$D$2:$G$14,3,FALSE),""))</x:f>
      </x:c>
      <x:c r="H8" s="210" t="str">
        <x:f>IF($G8="","",$G8/'Data'!$O$2/'Data'!$O$3)</x:f>
      </x:c>
      <x:c r="I8" s="211"/>
      <x:c r="J8" s="209" t="str">
        <x:f>IF(OR($E8="",$I8=""),"",$I8*'Data'!$O$2*'Data'!$O$3)</x:f>
      </x:c>
      <x:c r="K8" s="212" t="str">
        <x:f>IF(OR($J8="",$G8=""),"",$J8/$G8)</x:f>
      </x:c>
      <x:c r="L8" s="213" t="str">
        <x:f>IF($K8="","",VLOOKUP($K8,'Data'!$I$2:$L$6,3,TRUE))</x:f>
      </x:c>
      <x:c r="M8" s="210" t="str">
        <x:f>IF($L8="","",$I8*$L8)</x:f>
      </x:c>
      <x:c r="N8" s="214" t="str">
        <x:f>IF($M8="","",ROUNDDOWN($I8+$M8,2))</x:f>
      </x:c>
      <x:c r="O8" s="210" t="str">
        <x:f>IF($N8="","",ROUNDDOWN(ROUNDDOWN($N8,2)*$R8,3))</x:f>
      </x:c>
      <x:c r="P8" s="215"/>
      <x:c r="Q8" s="222" t="str">
        <x:f>IF($E8="","",IF(OR(RIGHT(UPPER(TRIM(SUBSTITUTE(CLEAN($E8),CHAR(160)," "))),2)="P1",RIGHT(UPPER(TRIM(SUBSTITUTE(CLEAN($E8),CHAR(160)," "))),2)="P2",RIGHT(UPPER(TRIM(SUBSTITUTE(CLEAN($E8),CHAR(160)," "))),2)="P3",RIGHT(UPPER(TRIM(SUBSTITUTE(CLEAN($E8),CHAR(160)," "))),2)="P4",ISNUMBER(SEARCH("INDUSTRIAL HYGIENIST 1 ENVIRONMENT",UPPER(TRIM(SUBSTITUTE(CLEAN($E8),CHAR(160)," ")))))),"PS","GS"))</x:f>
      </x:c>
      <x:c r="R8" s="223" t="str">
        <x:f>IF($Q8="","",IF($Q8="PS",'Data'!$O$5,'Data'!$O$4))</x:f>
      </x:c>
      <x:c r="S8" s="224" t="str">
        <x:f>IF($E8="","",IFERROR(VLOOKUP($E8,'Data'!$A$2:$B$114,2,FALSE),""))</x:f>
      </x:c>
      <x:c r="T8" s="217" t="str">
        <x:f>IF($K8="","",VLOOKUP($K8,'Data'!$I$2:$L$6,2,TRUE))</x:f>
      </x:c>
      <x:c r="U8" s="217" t="str">
        <x:v>Automation Engineer - III - Engineering (P &amp; O Support / Professional) - P3</x:v>
      </x:c>
      <x:c r="V8" s="221" t="str">
        <x:f>IF($L8="","",$J8*$L8)</x:f>
      </x:c>
      <x:c r="W8" s="221" t="str">
        <x:f>IF($V8="","",$J8+$V8)</x:f>
      </x:c>
      <x:c r="X8" s="217" t="str">
        <x:f>IF($Y8="Ready","Review and inform supplier","")</x:f>
      </x:c>
      <x:c r="Y8" s="217" t="str">
        <x:f>IF(AND($B8="",$E8="",$I8=""),"",IF($B8="","Missing Assignment Number",IF($E8="","Select Job Title",IF($I8="","Enter Pay Rate",IF($S8="","Job Title not found","Ready")))))</x:f>
      </x:c>
    </x:row>
    <x:row r="9" ht="22" customHeight="1">
      <x:c r="A9" s="205"/>
      <x:c r="B9" s="205"/>
      <x:c r="C9" s="206"/>
      <x:c r="D9" s="205"/>
      <x:c r="E9" s="207"/>
      <x:c r="F9" s="208"/>
      <x:c r="G9" s="209" t="str">
        <x:f>IF($S9="","",IFERROR(VLOOKUP($S9,'Data'!$D$2:$G$14,3,FALSE),""))</x:f>
      </x:c>
      <x:c r="H9" s="210" t="str">
        <x:f>IF($G9="","",$G9/'Data'!$O$2/'Data'!$O$3)</x:f>
      </x:c>
      <x:c r="I9" s="211"/>
      <x:c r="J9" s="209" t="str">
        <x:f>IF(OR($E9="",$I9=""),"",$I9*'Data'!$O$2*'Data'!$O$3)</x:f>
      </x:c>
      <x:c r="K9" s="212" t="str">
        <x:f>IF(OR($J9="",$G9=""),"",$J9/$G9)</x:f>
      </x:c>
      <x:c r="L9" s="213" t="str">
        <x:f>IF($K9="","",VLOOKUP($K9,'Data'!$I$2:$L$6,3,TRUE))</x:f>
      </x:c>
      <x:c r="M9" s="210" t="str">
        <x:f>IF($L9="","",$I9*$L9)</x:f>
      </x:c>
      <x:c r="N9" s="214" t="str">
        <x:f>IF($M9="","",ROUNDDOWN($I9+$M9,2))</x:f>
      </x:c>
      <x:c r="O9" s="210" t="str">
        <x:f>IF($N9="","",ROUNDDOWN(ROUNDDOWN($N9,2)*$R9,3))</x:f>
      </x:c>
      <x:c r="P9" s="215"/>
      <x:c r="Q9" s="222" t="str">
        <x:f>IF($E9="","",IF(OR(RIGHT(UPPER(TRIM(SUBSTITUTE(CLEAN($E9),CHAR(160)," "))),2)="P1",RIGHT(UPPER(TRIM(SUBSTITUTE(CLEAN($E9),CHAR(160)," "))),2)="P2",RIGHT(UPPER(TRIM(SUBSTITUTE(CLEAN($E9),CHAR(160)," "))),2)="P3",RIGHT(UPPER(TRIM(SUBSTITUTE(CLEAN($E9),CHAR(160)," "))),2)="P4",ISNUMBER(SEARCH("INDUSTRIAL HYGIENIST 1 ENVIRONMENT",UPPER(TRIM(SUBSTITUTE(CLEAN($E9),CHAR(160)," ")))))),"PS","GS"))</x:f>
      </x:c>
      <x:c r="R9" s="223" t="str">
        <x:f>IF($Q9="","",IF($Q9="PS",'Data'!$O$5,'Data'!$O$4))</x:f>
      </x:c>
      <x:c r="S9" s="224" t="str">
        <x:f>IF($E9="","",IFERROR(VLOOKUP($E9,'Data'!$A$2:$B$114,2,FALSE),""))</x:f>
      </x:c>
      <x:c r="T9" s="217" t="str">
        <x:f>IF($K9="","",VLOOKUP($K9,'Data'!$I$2:$L$6,2,TRUE))</x:f>
      </x:c>
      <x:c r="U9" s="217" t="str">
        <x:v>Biochemical Operator – ll - Production &amp; Operations Support (T): Industrial – O2 (Mid)</x:v>
      </x:c>
      <x:c r="V9" s="221" t="str">
        <x:f>IF($L9="","",$J9*$L9)</x:f>
      </x:c>
      <x:c r="W9" s="221" t="str">
        <x:f>IF($V9="","",$J9+$V9)</x:f>
      </x:c>
      <x:c r="X9" s="217" t="str">
        <x:f>IF($Y9="Ready","Review and inform supplier","")</x:f>
      </x:c>
      <x:c r="Y9" s="217" t="str">
        <x:f>IF(AND($B9="",$E9="",$I9=""),"",IF($B9="","Missing Assignment Number",IF($E9="","Select Job Title",IF($I9="","Enter Pay Rate",IF($S9="","Job Title not found","Ready")))))</x:f>
      </x:c>
    </x:row>
    <x:row r="10" ht="22" customHeight="1">
      <x:c r="A10" s="205"/>
      <x:c r="B10" s="205"/>
      <x:c r="C10" s="206"/>
      <x:c r="D10" s="205"/>
      <x:c r="E10" s="207"/>
      <x:c r="F10" s="208"/>
      <x:c r="G10" s="209" t="str">
        <x:f>IF($S10="","",IFERROR(VLOOKUP($S10,'Data'!$D$2:$G$14,3,FALSE),""))</x:f>
      </x:c>
      <x:c r="H10" s="210" t="str">
        <x:f>IF($G10="","",$G10/'Data'!$O$2/'Data'!$O$3)</x:f>
      </x:c>
      <x:c r="I10" s="211"/>
      <x:c r="J10" s="209" t="str">
        <x:f>IF(OR($E10="",$I10=""),"",$I10*'Data'!$O$2*'Data'!$O$3)</x:f>
      </x:c>
      <x:c r="K10" s="212" t="str">
        <x:f>IF(OR($J10="",$G10=""),"",$J10/$G10)</x:f>
      </x:c>
      <x:c r="L10" s="213" t="str">
        <x:f>IF($K10="","",VLOOKUP($K10,'Data'!$I$2:$L$6,3,TRUE))</x:f>
      </x:c>
      <x:c r="M10" s="210" t="str">
        <x:f>IF($L10="","",$I10*$L10)</x:f>
      </x:c>
      <x:c r="N10" s="214" t="str">
        <x:f>IF($M10="","",ROUNDDOWN($I10+$M10,2))</x:f>
      </x:c>
      <x:c r="O10" s="210" t="str">
        <x:f>IF($N10="","",ROUNDDOWN(ROUNDDOWN($N10,2)*$R10,3))</x:f>
      </x:c>
      <x:c r="P10" s="215"/>
      <x:c r="Q10" s="222" t="str">
        <x:f>IF($E10="","",IF(OR(RIGHT(UPPER(TRIM(SUBSTITUTE(CLEAN($E10),CHAR(160)," "))),2)="P1",RIGHT(UPPER(TRIM(SUBSTITUTE(CLEAN($E10),CHAR(160)," "))),2)="P2",RIGHT(UPPER(TRIM(SUBSTITUTE(CLEAN($E10),CHAR(160)," "))),2)="P3",RIGHT(UPPER(TRIM(SUBSTITUTE(CLEAN($E10),CHAR(160)," "))),2)="P4",ISNUMBER(SEARCH("INDUSTRIAL HYGIENIST 1 ENVIRONMENT",UPPER(TRIM(SUBSTITUTE(CLEAN($E10),CHAR(160)," ")))))),"PS","GS"))</x:f>
      </x:c>
      <x:c r="R10" s="223" t="str">
        <x:f>IF($Q10="","",IF($Q10="PS",'Data'!$O$5,'Data'!$O$4))</x:f>
      </x:c>
      <x:c r="S10" s="224" t="str">
        <x:f>IF($E10="","",IFERROR(VLOOKUP($E10,'Data'!$A$2:$B$114,2,FALSE),""))</x:f>
      </x:c>
      <x:c r="T10" s="217" t="str">
        <x:f>IF($K10="","",VLOOKUP($K10,'Data'!$I$2:$L$6,2,TRUE))</x:f>
      </x:c>
      <x:c r="U10" s="217" t="str">
        <x:v>Biochemist - I - LAB (B Support / Research) - R1</x:v>
      </x:c>
      <x:c r="V10" s="221" t="str">
        <x:f>IF($L10="","",$J10*$L10)</x:f>
      </x:c>
      <x:c r="W10" s="221" t="str">
        <x:f>IF($V10="","",$J10+$V10)</x:f>
      </x:c>
      <x:c r="X10" s="217" t="str">
        <x:f>IF($Y10="Ready","Review and inform supplier","")</x:f>
      </x:c>
      <x:c r="Y10" s="217" t="str">
        <x:f>IF(AND($B10="",$E10="",$I10=""),"",IF($B10="","Missing Assignment Number",IF($E10="","Select Job Title",IF($I10="","Enter Pay Rate",IF($S10="","Job Title not found","Ready")))))</x:f>
      </x:c>
    </x:row>
    <x:row r="11" ht="22" customHeight="1">
      <x:c r="A11" s="205"/>
      <x:c r="B11" s="205"/>
      <x:c r="C11" s="206"/>
      <x:c r="D11" s="205"/>
      <x:c r="E11" s="207"/>
      <x:c r="F11" s="208"/>
      <x:c r="G11" s="209" t="str">
        <x:f>IF($S11="","",IFERROR(VLOOKUP($S11,'Data'!$D$2:$G$14,3,FALSE),""))</x:f>
      </x:c>
      <x:c r="H11" s="210" t="str">
        <x:f>IF($G11="","",$G11/'Data'!$O$2/'Data'!$O$3)</x:f>
      </x:c>
      <x:c r="I11" s="211"/>
      <x:c r="J11" s="209" t="str">
        <x:f>IF(OR($E11="",$I11=""),"",$I11*'Data'!$O$2*'Data'!$O$3)</x:f>
      </x:c>
      <x:c r="K11" s="212" t="str">
        <x:f>IF(OR($J11="",$G11=""),"",$J11/$G11)</x:f>
      </x:c>
      <x:c r="L11" s="213" t="str">
        <x:f>IF($K11="","",VLOOKUP($K11,'Data'!$I$2:$L$6,3,TRUE))</x:f>
      </x:c>
      <x:c r="M11" s="210" t="str">
        <x:f>IF($L11="","",$I11*$L11)</x:f>
      </x:c>
      <x:c r="N11" s="214" t="str">
        <x:f>IF($M11="","",ROUNDDOWN($I11+$M11,2))</x:f>
      </x:c>
      <x:c r="O11" s="210" t="str">
        <x:f>IF($N11="","",ROUNDDOWN(ROUNDDOWN($N11,2)*$R11,3))</x:f>
      </x:c>
      <x:c r="P11" s="215"/>
      <x:c r="Q11" s="222" t="str">
        <x:f>IF($E11="","",IF(OR(RIGHT(UPPER(TRIM(SUBSTITUTE(CLEAN($E11),CHAR(160)," "))),2)="P1",RIGHT(UPPER(TRIM(SUBSTITUTE(CLEAN($E11),CHAR(160)," "))),2)="P2",RIGHT(UPPER(TRIM(SUBSTITUTE(CLEAN($E11),CHAR(160)," "))),2)="P3",RIGHT(UPPER(TRIM(SUBSTITUTE(CLEAN($E11),CHAR(160)," "))),2)="P4",ISNUMBER(SEARCH("INDUSTRIAL HYGIENIST 1 ENVIRONMENT",UPPER(TRIM(SUBSTITUTE(CLEAN($E11),CHAR(160)," ")))))),"PS","GS"))</x:f>
      </x:c>
      <x:c r="R11" s="223" t="str">
        <x:f>IF($Q11="","",IF($Q11="PS",'Data'!$O$5,'Data'!$O$4))</x:f>
      </x:c>
      <x:c r="S11" s="224" t="str">
        <x:f>IF($E11="","",IFERROR(VLOOKUP($E11,'Data'!$A$2:$B$114,2,FALSE),""))</x:f>
      </x:c>
      <x:c r="T11" s="217" t="str">
        <x:f>IF($K11="","",VLOOKUP($K11,'Data'!$I$2:$L$6,2,TRUE))</x:f>
      </x:c>
      <x:c r="U11" s="217" t="str">
        <x:v>Biologist - I - LAB (B Support / Research) - R1</x:v>
      </x:c>
      <x:c r="V11" s="221" t="str">
        <x:f>IF($L11="","",$J11*$L11)</x:f>
      </x:c>
      <x:c r="W11" s="221" t="str">
        <x:f>IF($V11="","",$J11+$V11)</x:f>
      </x:c>
      <x:c r="X11" s="217" t="str">
        <x:f>IF($Y11="Ready","Review and inform supplier","")</x:f>
      </x:c>
      <x:c r="Y11" s="217" t="str">
        <x:f>IF(AND($B11="",$E11="",$I11=""),"",IF($B11="","Missing Assignment Number",IF($E11="","Select Job Title",IF($I11="","Enter Pay Rate",IF($S11="","Job Title not found","Ready")))))</x:f>
      </x:c>
    </x:row>
    <x:row r="12" ht="22" customHeight="1">
      <x:c r="A12" s="205"/>
      <x:c r="B12" s="205"/>
      <x:c r="C12" s="206"/>
      <x:c r="D12" s="205"/>
      <x:c r="E12" s="207"/>
      <x:c r="F12" s="208"/>
      <x:c r="G12" s="209" t="str">
        <x:f>IF($S12="","",IFERROR(VLOOKUP($S12,'Data'!$D$2:$G$14,3,FALSE),""))</x:f>
      </x:c>
      <x:c r="H12" s="210" t="str">
        <x:f>IF($G12="","",$G12/'Data'!$O$2/'Data'!$O$3)</x:f>
      </x:c>
      <x:c r="I12" s="211"/>
      <x:c r="J12" s="209" t="str">
        <x:f>IF(OR($E12="",$I12=""),"",$I12*'Data'!$O$2*'Data'!$O$3)</x:f>
      </x:c>
      <x:c r="K12" s="212" t="str">
        <x:f>IF(OR($J12="",$G12=""),"",$J12/$G12)</x:f>
      </x:c>
      <x:c r="L12" s="213" t="str">
        <x:f>IF($K12="","",VLOOKUP($K12,'Data'!$I$2:$L$6,3,TRUE))</x:f>
      </x:c>
      <x:c r="M12" s="210" t="str">
        <x:f>IF($L12="","",$I12*$L12)</x:f>
      </x:c>
      <x:c r="N12" s="214" t="str">
        <x:f>IF($M12="","",ROUNDDOWN($I12+$M12,2))</x:f>
      </x:c>
      <x:c r="O12" s="210" t="str">
        <x:f>IF($N12="","",ROUNDDOWN(ROUNDDOWN($N12,2)*$R12,3))</x:f>
      </x:c>
      <x:c r="P12" s="215"/>
      <x:c r="Q12" s="222" t="str">
        <x:f>IF($E12="","",IF(OR(RIGHT(UPPER(TRIM(SUBSTITUTE(CLEAN($E12),CHAR(160)," "))),2)="P1",RIGHT(UPPER(TRIM(SUBSTITUTE(CLEAN($E12),CHAR(160)," "))),2)="P2",RIGHT(UPPER(TRIM(SUBSTITUTE(CLEAN($E12),CHAR(160)," "))),2)="P3",RIGHT(UPPER(TRIM(SUBSTITUTE(CLEAN($E12),CHAR(160)," "))),2)="P4",ISNUMBER(SEARCH("INDUSTRIAL HYGIENIST 1 ENVIRONMENT",UPPER(TRIM(SUBSTITUTE(CLEAN($E12),CHAR(160)," ")))))),"PS","GS"))</x:f>
      </x:c>
      <x:c r="R12" s="223" t="str">
        <x:f>IF($Q12="","",IF($Q12="PS",'Data'!$O$5,'Data'!$O$4))</x:f>
      </x:c>
      <x:c r="S12" s="224" t="str">
        <x:f>IF($E12="","",IFERROR(VLOOKUP($E12,'Data'!$A$2:$B$114,2,FALSE),""))</x:f>
      </x:c>
      <x:c r="T12" s="217" t="str">
        <x:f>IF($K12="","",VLOOKUP($K12,'Data'!$I$2:$L$6,2,TRUE))</x:f>
      </x:c>
      <x:c r="U12" s="217" t="str">
        <x:v>Business Analyst - II - Information Communications Technology (B Support / Professional) - P2</x:v>
      </x:c>
      <x:c r="V12" s="221" t="str">
        <x:f>IF($L12="","",$J12*$L12)</x:f>
      </x:c>
      <x:c r="W12" s="221" t="str">
        <x:f>IF($V12="","",$J12+$V12)</x:f>
      </x:c>
      <x:c r="X12" s="217" t="str">
        <x:f>IF($Y12="Ready","Review and inform supplier","")</x:f>
      </x:c>
      <x:c r="Y12" s="217" t="str">
        <x:f>IF(AND($B12="",$E12="",$I12=""),"",IF($B12="","Missing Assignment Number",IF($E12="","Select Job Title",IF($I12="","Enter Pay Rate",IF($S12="","Job Title not found","Ready")))))</x:f>
      </x:c>
    </x:row>
    <x:row r="13" ht="22" customHeight="1">
      <x:c r="A13" s="205"/>
      <x:c r="B13" s="205"/>
      <x:c r="C13" s="206"/>
      <x:c r="D13" s="205"/>
      <x:c r="E13" s="207"/>
      <x:c r="F13" s="208"/>
      <x:c r="G13" s="209" t="str">
        <x:f>IF($S13="","",IFERROR(VLOOKUP($S13,'Data'!$D$2:$G$14,3,FALSE),""))</x:f>
      </x:c>
      <x:c r="H13" s="210" t="str">
        <x:f>IF($G13="","",$G13/'Data'!$O$2/'Data'!$O$3)</x:f>
      </x:c>
      <x:c r="I13" s="211"/>
      <x:c r="J13" s="209" t="str">
        <x:f>IF(OR($E13="",$I13=""),"",$I13*'Data'!$O$2*'Data'!$O$3)</x:f>
      </x:c>
      <x:c r="K13" s="212" t="str">
        <x:f>IF(OR($J13="",$G13=""),"",$J13/$G13)</x:f>
      </x:c>
      <x:c r="L13" s="213" t="str">
        <x:f>IF($K13="","",VLOOKUP($K13,'Data'!$I$2:$L$6,3,TRUE))</x:f>
      </x:c>
      <x:c r="M13" s="210" t="str">
        <x:f>IF($L13="","",$I13*$L13)</x:f>
      </x:c>
      <x:c r="N13" s="214" t="str">
        <x:f>IF($M13="","",ROUNDDOWN($I13+$M13,2))</x:f>
      </x:c>
      <x:c r="O13" s="210" t="str">
        <x:f>IF($N13="","",ROUNDDOWN(ROUNDDOWN($N13,2)*$R13,3))</x:f>
      </x:c>
      <x:c r="P13" s="215"/>
      <x:c r="Q13" s="222" t="str">
        <x:f>IF($E13="","",IF(OR(RIGHT(UPPER(TRIM(SUBSTITUTE(CLEAN($E13),CHAR(160)," "))),2)="P1",RIGHT(UPPER(TRIM(SUBSTITUTE(CLEAN($E13),CHAR(160)," "))),2)="P2",RIGHT(UPPER(TRIM(SUBSTITUTE(CLEAN($E13),CHAR(160)," "))),2)="P3",RIGHT(UPPER(TRIM(SUBSTITUTE(CLEAN($E13),CHAR(160)," "))),2)="P4",ISNUMBER(SEARCH("INDUSTRIAL HYGIENIST 1 ENVIRONMENT",UPPER(TRIM(SUBSTITUTE(CLEAN($E13),CHAR(160)," ")))))),"PS","GS"))</x:f>
      </x:c>
      <x:c r="R13" s="223" t="str">
        <x:f>IF($Q13="","",IF($Q13="PS",'Data'!$O$5,'Data'!$O$4))</x:f>
      </x:c>
      <x:c r="S13" s="224" t="str">
        <x:f>IF($E13="","",IFERROR(VLOOKUP($E13,'Data'!$A$2:$B$114,2,FALSE),""))</x:f>
      </x:c>
      <x:c r="T13" s="217" t="str">
        <x:f>IF($K13="","",VLOOKUP($K13,'Data'!$I$2:$L$6,2,TRUE))</x:f>
      </x:c>
      <x:c r="U13" s="217" t="str">
        <x:v>Business Analyst - III - Information Communications Technology (B Support / Professional) - P3</x:v>
      </x:c>
      <x:c r="V13" s="221" t="str">
        <x:f>IF($L13="","",$J13*$L13)</x:f>
      </x:c>
      <x:c r="W13" s="221" t="str">
        <x:f>IF($V13="","",$J13+$V13)</x:f>
      </x:c>
      <x:c r="X13" s="217" t="str">
        <x:f>IF($Y13="Ready","Review and inform supplier","")</x:f>
      </x:c>
      <x:c r="Y13" s="217" t="str">
        <x:f>IF(AND($B13="",$E13="",$I13=""),"",IF($B13="","Missing Assignment Number",IF($E13="","Select Job Title",IF($I13="","Enter Pay Rate",IF($S13="","Job Title not found","Ready")))))</x:f>
      </x:c>
    </x:row>
    <x:row r="14" ht="22" customHeight="1">
      <x:c r="A14" s="205"/>
      <x:c r="B14" s="205"/>
      <x:c r="C14" s="206"/>
      <x:c r="D14" s="205"/>
      <x:c r="E14" s="207"/>
      <x:c r="F14" s="208"/>
      <x:c r="G14" s="209" t="str">
        <x:f>IF($S14="","",IFERROR(VLOOKUP($S14,'Data'!$D$2:$G$14,3,FALSE),""))</x:f>
      </x:c>
      <x:c r="H14" s="210" t="str">
        <x:f>IF($G14="","",$G14/'Data'!$O$2/'Data'!$O$3)</x:f>
      </x:c>
      <x:c r="I14" s="211"/>
      <x:c r="J14" s="209" t="str">
        <x:f>IF(OR($E14="",$I14=""),"",$I14*'Data'!$O$2*'Data'!$O$3)</x:f>
      </x:c>
      <x:c r="K14" s="212" t="str">
        <x:f>IF(OR($J14="",$G14=""),"",$J14/$G14)</x:f>
      </x:c>
      <x:c r="L14" s="213" t="str">
        <x:f>IF($K14="","",VLOOKUP($K14,'Data'!$I$2:$L$6,3,TRUE))</x:f>
      </x:c>
      <x:c r="M14" s="210" t="str">
        <x:f>IF($L14="","",$I14*$L14)</x:f>
      </x:c>
      <x:c r="N14" s="214" t="str">
        <x:f>IF($M14="","",ROUNDDOWN($I14+$M14,2))</x:f>
      </x:c>
      <x:c r="O14" s="210" t="str">
        <x:f>IF($N14="","",ROUNDDOWN(ROUNDDOWN($N14,2)*$R14,3))</x:f>
      </x:c>
      <x:c r="P14" s="215"/>
      <x:c r="Q14" s="222" t="str">
        <x:f>IF($E14="","",IF(OR(RIGHT(UPPER(TRIM(SUBSTITUTE(CLEAN($E14),CHAR(160)," "))),2)="P1",RIGHT(UPPER(TRIM(SUBSTITUTE(CLEAN($E14),CHAR(160)," "))),2)="P2",RIGHT(UPPER(TRIM(SUBSTITUTE(CLEAN($E14),CHAR(160)," "))),2)="P3",RIGHT(UPPER(TRIM(SUBSTITUTE(CLEAN($E14),CHAR(160)," "))),2)="P4",ISNUMBER(SEARCH("INDUSTRIAL HYGIENIST 1 ENVIRONMENT",UPPER(TRIM(SUBSTITUTE(CLEAN($E14),CHAR(160)," ")))))),"PS","GS"))</x:f>
      </x:c>
      <x:c r="R14" s="223" t="str">
        <x:f>IF($Q14="","",IF($Q14="PS",'Data'!$O$5,'Data'!$O$4))</x:f>
      </x:c>
      <x:c r="S14" s="224" t="str">
        <x:f>IF($E14="","",IFERROR(VLOOKUP($E14,'Data'!$A$2:$B$114,2,FALSE),""))</x:f>
      </x:c>
      <x:c r="T14" s="217" t="str">
        <x:f>IF($K14="","",VLOOKUP($K14,'Data'!$I$2:$L$6,2,TRUE))</x:f>
      </x:c>
      <x:c r="U14" s="217" t="str">
        <x:v>Business Analyst - IV - Information Communications Technology (B Support / Professional) - P4</x:v>
      </x:c>
      <x:c r="V14" s="221" t="str">
        <x:f>IF($L14="","",$J14*$L14)</x:f>
      </x:c>
      <x:c r="W14" s="221" t="str">
        <x:f>IF($V14="","",$J14+$V14)</x:f>
      </x:c>
      <x:c r="X14" s="217" t="str">
        <x:f>IF($Y14="Ready","Review and inform supplier","")</x:f>
      </x:c>
      <x:c r="Y14" s="217" t="str">
        <x:f>IF(AND($B14="",$E14="",$I14=""),"",IF($B14="","Missing Assignment Number",IF($E14="","Select Job Title",IF($I14="","Enter Pay Rate",IF($S14="","Job Title not found","Ready")))))</x:f>
      </x:c>
    </x:row>
    <x:row r="15" ht="22" customHeight="1">
      <x:c r="A15" s="205"/>
      <x:c r="B15" s="205"/>
      <x:c r="C15" s="206"/>
      <x:c r="D15" s="205"/>
      <x:c r="E15" s="207"/>
      <x:c r="F15" s="208"/>
      <x:c r="G15" s="209" t="str">
        <x:f>IF($S15="","",IFERROR(VLOOKUP($S15,'Data'!$D$2:$G$14,3,FALSE),""))</x:f>
      </x:c>
      <x:c r="H15" s="210" t="str">
        <x:f>IF($G15="","",$G15/'Data'!$O$2/'Data'!$O$3)</x:f>
      </x:c>
      <x:c r="I15" s="211"/>
      <x:c r="J15" s="209" t="str">
        <x:f>IF(OR($E15="",$I15=""),"",$I15*'Data'!$O$2*'Data'!$O$3)</x:f>
      </x:c>
      <x:c r="K15" s="212" t="str">
        <x:f>IF(OR($J15="",$G15=""),"",$J15/$G15)</x:f>
      </x:c>
      <x:c r="L15" s="213" t="str">
        <x:f>IF($K15="","",VLOOKUP($K15,'Data'!$I$2:$L$6,3,TRUE))</x:f>
      </x:c>
      <x:c r="M15" s="210" t="str">
        <x:f>IF($L15="","",$I15*$L15)</x:f>
      </x:c>
      <x:c r="N15" s="214" t="str">
        <x:f>IF($M15="","",ROUNDDOWN($I15+$M15,2))</x:f>
      </x:c>
      <x:c r="O15" s="210" t="str">
        <x:f>IF($N15="","",ROUNDDOWN(ROUNDDOWN($N15,2)*$R15,3))</x:f>
      </x:c>
      <x:c r="P15" s="215"/>
      <x:c r="Q15" s="222" t="str">
        <x:f>IF($E15="","",IF(OR(RIGHT(UPPER(TRIM(SUBSTITUTE(CLEAN($E15),CHAR(160)," "))),2)="P1",RIGHT(UPPER(TRIM(SUBSTITUTE(CLEAN($E15),CHAR(160)," "))),2)="P2",RIGHT(UPPER(TRIM(SUBSTITUTE(CLEAN($E15),CHAR(160)," "))),2)="P3",RIGHT(UPPER(TRIM(SUBSTITUTE(CLEAN($E15),CHAR(160)," "))),2)="P4",ISNUMBER(SEARCH("INDUSTRIAL HYGIENIST 1 ENVIRONMENT",UPPER(TRIM(SUBSTITUTE(CLEAN($E15),CHAR(160)," ")))))),"PS","GS"))</x:f>
      </x:c>
      <x:c r="R15" s="223" t="str">
        <x:f>IF($Q15="","",IF($Q15="PS",'Data'!$O$5,'Data'!$O$4))</x:f>
      </x:c>
      <x:c r="S15" s="224" t="str">
        <x:f>IF($E15="","",IFERROR(VLOOKUP($E15,'Data'!$A$2:$B$114,2,FALSE),""))</x:f>
      </x:c>
      <x:c r="T15" s="217" t="str">
        <x:f>IF($K15="","",VLOOKUP($K15,'Data'!$I$2:$L$6,2,TRUE))</x:f>
      </x:c>
      <x:c r="U15" s="217" t="str">
        <x:v>Business Consultant - IV - Information Communications Technology (B Support / Professional) - P4</x:v>
      </x:c>
      <x:c r="V15" s="221" t="str">
        <x:f>IF($L15="","",$J15*$L15)</x:f>
      </x:c>
      <x:c r="W15" s="221" t="str">
        <x:f>IF($V15="","",$J15+$V15)</x:f>
      </x:c>
      <x:c r="X15" s="217" t="str">
        <x:f>IF($Y15="Ready","Review and inform supplier","")</x:f>
      </x:c>
      <x:c r="Y15" s="217" t="str">
        <x:f>IF(AND($B15="",$E15="",$I15=""),"",IF($B15="","Missing Assignment Number",IF($E15="","Select Job Title",IF($I15="","Enter Pay Rate",IF($S15="","Job Title not found","Ready")))))</x:f>
      </x:c>
    </x:row>
    <x:row r="16" ht="22" customHeight="1">
      <x:c r="A16" s="205"/>
      <x:c r="B16" s="205"/>
      <x:c r="C16" s="206"/>
      <x:c r="D16" s="205"/>
      <x:c r="E16" s="207"/>
      <x:c r="F16" s="208"/>
      <x:c r="G16" s="209" t="str">
        <x:f>IF($S16="","",IFERROR(VLOOKUP($S16,'Data'!$D$2:$G$14,3,FALSE),""))</x:f>
      </x:c>
      <x:c r="H16" s="210" t="str">
        <x:f>IF($G16="","",$G16/'Data'!$O$2/'Data'!$O$3)</x:f>
      </x:c>
      <x:c r="I16" s="211"/>
      <x:c r="J16" s="209" t="str">
        <x:f>IF(OR($E16="",$I16=""),"",$I16*'Data'!$O$2*'Data'!$O$3)</x:f>
      </x:c>
      <x:c r="K16" s="212" t="str">
        <x:f>IF(OR($J16="",$G16=""),"",$J16/$G16)</x:f>
      </x:c>
      <x:c r="L16" s="213" t="str">
        <x:f>IF($K16="","",VLOOKUP($K16,'Data'!$I$2:$L$6,3,TRUE))</x:f>
      </x:c>
      <x:c r="M16" s="210" t="str">
        <x:f>IF($L16="","",$I16*$L16)</x:f>
      </x:c>
      <x:c r="N16" s="214" t="str">
        <x:f>IF($M16="","",ROUNDDOWN($I16+$M16,2))</x:f>
      </x:c>
      <x:c r="O16" s="210" t="str">
        <x:f>IF($N16="","",ROUNDDOWN(ROUNDDOWN($N16,2)*$R16,3))</x:f>
      </x:c>
      <x:c r="P16" s="215"/>
      <x:c r="Q16" s="222" t="str">
        <x:f>IF($E16="","",IF(OR(RIGHT(UPPER(TRIM(SUBSTITUTE(CLEAN($E16),CHAR(160)," "))),2)="P1",RIGHT(UPPER(TRIM(SUBSTITUTE(CLEAN($E16),CHAR(160)," "))),2)="P2",RIGHT(UPPER(TRIM(SUBSTITUTE(CLEAN($E16),CHAR(160)," "))),2)="P3",RIGHT(UPPER(TRIM(SUBSTITUTE(CLEAN($E16),CHAR(160)," "))),2)="P4",ISNUMBER(SEARCH("INDUSTRIAL HYGIENIST 1 ENVIRONMENT",UPPER(TRIM(SUBSTITUTE(CLEAN($E16),CHAR(160)," ")))))),"PS","GS"))</x:f>
      </x:c>
      <x:c r="R16" s="223" t="str">
        <x:f>IF($Q16="","",IF($Q16="PS",'Data'!$O$5,'Data'!$O$4))</x:f>
      </x:c>
      <x:c r="S16" s="224" t="str">
        <x:f>IF($E16="","",IFERROR(VLOOKUP($E16,'Data'!$A$2:$B$114,2,FALSE),""))</x:f>
      </x:c>
      <x:c r="T16" s="217" t="str">
        <x:f>IF($K16="","",VLOOKUP($K16,'Data'!$I$2:$L$6,2,TRUE))</x:f>
      </x:c>
      <x:c r="U16" s="217" t="str">
        <x:v>Chemical Engineer - III - Engineering (P &amp; O Support / Professional) - P3</x:v>
      </x:c>
      <x:c r="V16" s="221" t="str">
        <x:f>IF($L16="","",$J16*$L16)</x:f>
      </x:c>
      <x:c r="W16" s="221" t="str">
        <x:f>IF($V16="","",$J16+$V16)</x:f>
      </x:c>
      <x:c r="X16" s="217" t="str">
        <x:f>IF($Y16="Ready","Review and inform supplier","")</x:f>
      </x:c>
      <x:c r="Y16" s="217" t="str">
        <x:f>IF(AND($B16="",$E16="",$I16=""),"",IF($B16="","Missing Assignment Number",IF($E16="","Select Job Title",IF($I16="","Enter Pay Rate",IF($S16="","Job Title not found","Ready")))))</x:f>
      </x:c>
    </x:row>
    <x:row r="17" ht="22" customHeight="1">
      <x:c r="A17" s="205"/>
      <x:c r="B17" s="205"/>
      <x:c r="C17" s="206"/>
      <x:c r="D17" s="205"/>
      <x:c r="E17" s="207"/>
      <x:c r="F17" s="208"/>
      <x:c r="G17" s="209" t="str">
        <x:f>IF($S17="","",IFERROR(VLOOKUP($S17,'Data'!$D$2:$G$14,3,FALSE),""))</x:f>
      </x:c>
      <x:c r="H17" s="210" t="str">
        <x:f>IF($G17="","",$G17/'Data'!$O$2/'Data'!$O$3)</x:f>
      </x:c>
      <x:c r="I17" s="211"/>
      <x:c r="J17" s="209" t="str">
        <x:f>IF(OR($E17="",$I17=""),"",$I17*'Data'!$O$2*'Data'!$O$3)</x:f>
      </x:c>
      <x:c r="K17" s="212" t="str">
        <x:f>IF(OR($J17="",$G17=""),"",$J17/$G17)</x:f>
      </x:c>
      <x:c r="L17" s="213" t="str">
        <x:f>IF($K17="","",VLOOKUP($K17,'Data'!$I$2:$L$6,3,TRUE))</x:f>
      </x:c>
      <x:c r="M17" s="210" t="str">
        <x:f>IF($L17="","",$I17*$L17)</x:f>
      </x:c>
      <x:c r="N17" s="214" t="str">
        <x:f>IF($M17="","",ROUNDDOWN($I17+$M17,2))</x:f>
      </x:c>
      <x:c r="O17" s="210" t="str">
        <x:f>IF($N17="","",ROUNDDOWN(ROUNDDOWN($N17,2)*$R17,3))</x:f>
      </x:c>
      <x:c r="P17" s="215"/>
      <x:c r="Q17" s="222" t="str">
        <x:f>IF($E17="","",IF(OR(RIGHT(UPPER(TRIM(SUBSTITUTE(CLEAN($E17),CHAR(160)," "))),2)="P1",RIGHT(UPPER(TRIM(SUBSTITUTE(CLEAN($E17),CHAR(160)," "))),2)="P2",RIGHT(UPPER(TRIM(SUBSTITUTE(CLEAN($E17),CHAR(160)," "))),2)="P3",RIGHT(UPPER(TRIM(SUBSTITUTE(CLEAN($E17),CHAR(160)," "))),2)="P4",ISNUMBER(SEARCH("INDUSTRIAL HYGIENIST 1 ENVIRONMENT",UPPER(TRIM(SUBSTITUTE(CLEAN($E17),CHAR(160)," ")))))),"PS","GS"))</x:f>
      </x:c>
      <x:c r="R17" s="223" t="str">
        <x:f>IF($Q17="","",IF($Q17="PS",'Data'!$O$5,'Data'!$O$4))</x:f>
      </x:c>
      <x:c r="S17" s="224" t="str">
        <x:f>IF($E17="","",IFERROR(VLOOKUP($E17,'Data'!$A$2:$B$114,2,FALSE),""))</x:f>
      </x:c>
      <x:c r="T17" s="217" t="str">
        <x:f>IF($K17="","",VLOOKUP($K17,'Data'!$I$2:$L$6,2,TRUE))</x:f>
      </x:c>
      <x:c r="U17" s="217" t="str">
        <x:v>Civil Engineer - II - Engineering (P &amp; O Support / Professional) - P2</x:v>
      </x:c>
      <x:c r="V17" s="221" t="str">
        <x:f>IF($L17="","",$J17*$L17)</x:f>
      </x:c>
      <x:c r="W17" s="221" t="str">
        <x:f>IF($V17="","",$J17+$V17)</x:f>
      </x:c>
      <x:c r="X17" s="217" t="str">
        <x:f>IF($Y17="Ready","Review and inform supplier","")</x:f>
      </x:c>
      <x:c r="Y17" s="217" t="str">
        <x:f>IF(AND($B17="",$E17="",$I17=""),"",IF($B17="","Missing Assignment Number",IF($E17="","Select Job Title",IF($I17="","Enter Pay Rate",IF($S17="","Job Title not found","Ready")))))</x:f>
      </x:c>
    </x:row>
    <x:row r="18" ht="22" customHeight="1">
      <x:c r="A18" s="205"/>
      <x:c r="B18" s="205"/>
      <x:c r="C18" s="206"/>
      <x:c r="D18" s="205"/>
      <x:c r="E18" s="207"/>
      <x:c r="F18" s="208"/>
      <x:c r="G18" s="209" t="str">
        <x:f>IF($S18="","",IFERROR(VLOOKUP($S18,'Data'!$D$2:$G$14,3,FALSE),""))</x:f>
      </x:c>
      <x:c r="H18" s="210" t="str">
        <x:f>IF($G18="","",$G18/'Data'!$O$2/'Data'!$O$3)</x:f>
      </x:c>
      <x:c r="I18" s="211"/>
      <x:c r="J18" s="209" t="str">
        <x:f>IF(OR($E18="",$I18=""),"",$I18*'Data'!$O$2*'Data'!$O$3)</x:f>
      </x:c>
      <x:c r="K18" s="212" t="str">
        <x:f>IF(OR($J18="",$G18=""),"",$J18/$G18)</x:f>
      </x:c>
      <x:c r="L18" s="213" t="str">
        <x:f>IF($K18="","",VLOOKUP($K18,'Data'!$I$2:$L$6,3,TRUE))</x:f>
      </x:c>
      <x:c r="M18" s="210" t="str">
        <x:f>IF($L18="","",$I18*$L18)</x:f>
      </x:c>
      <x:c r="N18" s="214" t="str">
        <x:f>IF($M18="","",ROUNDDOWN($I18+$M18,2))</x:f>
      </x:c>
      <x:c r="O18" s="210" t="str">
        <x:f>IF($N18="","",ROUNDDOWN(ROUNDDOWN($N18,2)*$R18,3))</x:f>
      </x:c>
      <x:c r="P18" s="215"/>
      <x:c r="Q18" s="222" t="str">
        <x:f>IF($E18="","",IF(OR(RIGHT(UPPER(TRIM(SUBSTITUTE(CLEAN($E18),CHAR(160)," "))),2)="P1",RIGHT(UPPER(TRIM(SUBSTITUTE(CLEAN($E18),CHAR(160)," "))),2)="P2",RIGHT(UPPER(TRIM(SUBSTITUTE(CLEAN($E18),CHAR(160)," "))),2)="P3",RIGHT(UPPER(TRIM(SUBSTITUTE(CLEAN($E18),CHAR(160)," "))),2)="P4",ISNUMBER(SEARCH("INDUSTRIAL HYGIENIST 1 ENVIRONMENT",UPPER(TRIM(SUBSTITUTE(CLEAN($E18),CHAR(160)," ")))))),"PS","GS"))</x:f>
      </x:c>
      <x:c r="R18" s="223" t="str">
        <x:f>IF($Q18="","",IF($Q18="PS",'Data'!$O$5,'Data'!$O$4))</x:f>
      </x:c>
      <x:c r="S18" s="224" t="str">
        <x:f>IF($E18="","",IFERROR(VLOOKUP($E18,'Data'!$A$2:$B$114,2,FALSE),""))</x:f>
      </x:c>
      <x:c r="T18" s="217" t="str">
        <x:f>IF($K18="","",VLOOKUP($K18,'Data'!$I$2:$L$6,2,TRUE))</x:f>
      </x:c>
      <x:c r="U18" s="217" t="str">
        <x:v>Civil Engineer - III - Engineering (P &amp; O Support / Professional) - P3</x:v>
      </x:c>
      <x:c r="V18" s="221" t="str">
        <x:f>IF($L18="","",$J18*$L18)</x:f>
      </x:c>
      <x:c r="W18" s="221" t="str">
        <x:f>IF($V18="","",$J18+$V18)</x:f>
      </x:c>
      <x:c r="X18" s="217" t="str">
        <x:f>IF($Y18="Ready","Review and inform supplier","")</x:f>
      </x:c>
      <x:c r="Y18" s="217" t="str">
        <x:f>IF(AND($B18="",$E18="",$I18=""),"",IF($B18="","Missing Assignment Number",IF($E18="","Select Job Title",IF($I18="","Enter Pay Rate",IF($S18="","Job Title not found","Ready")))))</x:f>
      </x:c>
    </x:row>
    <x:row r="19" ht="22" customHeight="1">
      <x:c r="A19" s="205"/>
      <x:c r="B19" s="205"/>
      <x:c r="C19" s="206"/>
      <x:c r="D19" s="205"/>
      <x:c r="E19" s="207"/>
      <x:c r="F19" s="208"/>
      <x:c r="G19" s="209" t="str">
        <x:f>IF($S19="","",IFERROR(VLOOKUP($S19,'Data'!$D$2:$G$14,3,FALSE),""))</x:f>
      </x:c>
      <x:c r="H19" s="210" t="str">
        <x:f>IF($G19="","",$G19/'Data'!$O$2/'Data'!$O$3)</x:f>
      </x:c>
      <x:c r="I19" s="211"/>
      <x:c r="J19" s="209" t="str">
        <x:f>IF(OR($E19="",$I19=""),"",$I19*'Data'!$O$2*'Data'!$O$3)</x:f>
      </x:c>
      <x:c r="K19" s="212" t="str">
        <x:f>IF(OR($J19="",$G19=""),"",$J19/$G19)</x:f>
      </x:c>
      <x:c r="L19" s="213" t="str">
        <x:f>IF($K19="","",VLOOKUP($K19,'Data'!$I$2:$L$6,3,TRUE))</x:f>
      </x:c>
      <x:c r="M19" s="210" t="str">
        <x:f>IF($L19="","",$I19*$L19)</x:f>
      </x:c>
      <x:c r="N19" s="214" t="str">
        <x:f>IF($M19="","",ROUNDDOWN($I19+$M19,2))</x:f>
      </x:c>
      <x:c r="O19" s="210" t="str">
        <x:f>IF($N19="","",ROUNDDOWN(ROUNDDOWN($N19,2)*$R19,3))</x:f>
      </x:c>
      <x:c r="P19" s="215"/>
      <x:c r="Q19" s="222" t="str">
        <x:f>IF($E19="","",IF(OR(RIGHT(UPPER(TRIM(SUBSTITUTE(CLEAN($E19),CHAR(160)," "))),2)="P1",RIGHT(UPPER(TRIM(SUBSTITUTE(CLEAN($E19),CHAR(160)," "))),2)="P2",RIGHT(UPPER(TRIM(SUBSTITUTE(CLEAN($E19),CHAR(160)," "))),2)="P3",RIGHT(UPPER(TRIM(SUBSTITUTE(CLEAN($E19),CHAR(160)," "))),2)="P4",ISNUMBER(SEARCH("INDUSTRIAL HYGIENIST 1 ENVIRONMENT",UPPER(TRIM(SUBSTITUTE(CLEAN($E19),CHAR(160)," ")))))),"PS","GS"))</x:f>
      </x:c>
      <x:c r="R19" s="223" t="str">
        <x:f>IF($Q19="","",IF($Q19="PS",'Data'!$O$5,'Data'!$O$4))</x:f>
      </x:c>
      <x:c r="S19" s="224" t="str">
        <x:f>IF($E19="","",IFERROR(VLOOKUP($E19,'Data'!$A$2:$B$114,2,FALSE),""))</x:f>
      </x:c>
      <x:c r="T19" s="217" t="str">
        <x:f>IF($K19="","",VLOOKUP($K19,'Data'!$I$2:$L$6,2,TRUE))</x:f>
      </x:c>
      <x:c r="U19" s="217" t="str">
        <x:v>Compliance Specialist - I - Administrative (B Support / Professional) - P1</x:v>
      </x:c>
      <x:c r="V19" s="221" t="str">
        <x:f>IF($L19="","",$J19*$L19)</x:f>
      </x:c>
      <x:c r="W19" s="221" t="str">
        <x:f>IF($V19="","",$J19+$V19)</x:f>
      </x:c>
      <x:c r="X19" s="217" t="str">
        <x:f>IF($Y19="Ready","Review and inform supplier","")</x:f>
      </x:c>
      <x:c r="Y19" s="217" t="str">
        <x:f>IF(AND($B19="",$E19="",$I19=""),"",IF($B19="","Missing Assignment Number",IF($E19="","Select Job Title",IF($I19="","Enter Pay Rate",IF($S19="","Job Title not found","Ready")))))</x:f>
      </x:c>
    </x:row>
    <x:row r="20" ht="22" customHeight="1">
      <x:c r="A20" s="205"/>
      <x:c r="B20" s="205"/>
      <x:c r="C20" s="206"/>
      <x:c r="D20" s="205"/>
      <x:c r="E20" s="207"/>
      <x:c r="F20" s="208"/>
      <x:c r="G20" s="209" t="str">
        <x:f>IF($S20="","",IFERROR(VLOOKUP($S20,'Data'!$D$2:$G$14,3,FALSE),""))</x:f>
      </x:c>
      <x:c r="H20" s="210" t="str">
        <x:f>IF($G20="","",$G20/'Data'!$O$2/'Data'!$O$3)</x:f>
      </x:c>
      <x:c r="I20" s="211"/>
      <x:c r="J20" s="209" t="str">
        <x:f>IF(OR($E20="",$I20=""),"",$I20*'Data'!$O$2*'Data'!$O$3)</x:f>
      </x:c>
      <x:c r="K20" s="212" t="str">
        <x:f>IF(OR($J20="",$G20=""),"",$J20/$G20)</x:f>
      </x:c>
      <x:c r="L20" s="213" t="str">
        <x:f>IF($K20="","",VLOOKUP($K20,'Data'!$I$2:$L$6,3,TRUE))</x:f>
      </x:c>
      <x:c r="M20" s="210" t="str">
        <x:f>IF($L20="","",$I20*$L20)</x:f>
      </x:c>
      <x:c r="N20" s="214" t="str">
        <x:f>IF($M20="","",ROUNDDOWN($I20+$M20,2))</x:f>
      </x:c>
      <x:c r="O20" s="210" t="str">
        <x:f>IF($N20="","",ROUNDDOWN(ROUNDDOWN($N20,2)*$R20,3))</x:f>
      </x:c>
      <x:c r="P20" s="215"/>
      <x:c r="Q20" s="222" t="str">
        <x:f>IF($E20="","",IF(OR(RIGHT(UPPER(TRIM(SUBSTITUTE(CLEAN($E20),CHAR(160)," "))),2)="P1",RIGHT(UPPER(TRIM(SUBSTITUTE(CLEAN($E20),CHAR(160)," "))),2)="P2",RIGHT(UPPER(TRIM(SUBSTITUTE(CLEAN($E20),CHAR(160)," "))),2)="P3",RIGHT(UPPER(TRIM(SUBSTITUTE(CLEAN($E20),CHAR(160)," "))),2)="P4",ISNUMBER(SEARCH("INDUSTRIAL HYGIENIST 1 ENVIRONMENT",UPPER(TRIM(SUBSTITUTE(CLEAN($E20),CHAR(160)," ")))))),"PS","GS"))</x:f>
      </x:c>
      <x:c r="R20" s="223" t="str">
        <x:f>IF($Q20="","",IF($Q20="PS",'Data'!$O$5,'Data'!$O$4))</x:f>
      </x:c>
      <x:c r="S20" s="224" t="str">
        <x:f>IF($E20="","",IFERROR(VLOOKUP($E20,'Data'!$A$2:$B$114,2,FALSE),""))</x:f>
      </x:c>
      <x:c r="T20" s="217" t="str">
        <x:f>IF($K20="","",VLOOKUP($K20,'Data'!$I$2:$L$6,2,TRUE))</x:f>
      </x:c>
      <x:c r="U20" s="217" t="str">
        <x:v>Data Analyst - II - Information Communications Technology (B Support / Professional) - P2</x:v>
      </x:c>
      <x:c r="V20" s="221" t="str">
        <x:f>IF($L20="","",$J20*$L20)</x:f>
      </x:c>
      <x:c r="W20" s="221" t="str">
        <x:f>IF($V20="","",$J20+$V20)</x:f>
      </x:c>
      <x:c r="X20" s="217" t="str">
        <x:f>IF($Y20="Ready","Review and inform supplier","")</x:f>
      </x:c>
      <x:c r="Y20" s="217" t="str">
        <x:f>IF(AND($B20="",$E20="",$I20=""),"",IF($B20="","Missing Assignment Number",IF($E20="","Select Job Title",IF($I20="","Enter Pay Rate",IF($S20="","Job Title not found","Ready")))))</x:f>
      </x:c>
    </x:row>
    <x:row r="21" ht="22" customHeight="1">
      <x:c r="A21" s="205"/>
      <x:c r="B21" s="205"/>
      <x:c r="C21" s="206"/>
      <x:c r="D21" s="205"/>
      <x:c r="E21" s="207"/>
      <x:c r="F21" s="208"/>
      <x:c r="G21" s="209" t="str">
        <x:f>IF($S21="","",IFERROR(VLOOKUP($S21,'Data'!$D$2:$G$14,3,FALSE),""))</x:f>
      </x:c>
      <x:c r="H21" s="210" t="str">
        <x:f>IF($G21="","",$G21/'Data'!$O$2/'Data'!$O$3)</x:f>
      </x:c>
      <x:c r="I21" s="211"/>
      <x:c r="J21" s="209" t="str">
        <x:f>IF(OR($E21="",$I21=""),"",$I21*'Data'!$O$2*'Data'!$O$3)</x:f>
      </x:c>
      <x:c r="K21" s="212" t="str">
        <x:f>IF(OR($J21="",$G21=""),"",$J21/$G21)</x:f>
      </x:c>
      <x:c r="L21" s="213" t="str">
        <x:f>IF($K21="","",VLOOKUP($K21,'Data'!$I$2:$L$6,3,TRUE))</x:f>
      </x:c>
      <x:c r="M21" s="210" t="str">
        <x:f>IF($L21="","",$I21*$L21)</x:f>
      </x:c>
      <x:c r="N21" s="214" t="str">
        <x:f>IF($M21="","",ROUNDDOWN($I21+$M21,2))</x:f>
      </x:c>
      <x:c r="O21" s="210" t="str">
        <x:f>IF($N21="","",ROUNDDOWN(ROUNDDOWN($N21,2)*$R21,3))</x:f>
      </x:c>
      <x:c r="P21" s="215"/>
      <x:c r="Q21" s="222" t="str">
        <x:f>IF($E21="","",IF(OR(RIGHT(UPPER(TRIM(SUBSTITUTE(CLEAN($E21),CHAR(160)," "))),2)="P1",RIGHT(UPPER(TRIM(SUBSTITUTE(CLEAN($E21),CHAR(160)," "))),2)="P2",RIGHT(UPPER(TRIM(SUBSTITUTE(CLEAN($E21),CHAR(160)," "))),2)="P3",RIGHT(UPPER(TRIM(SUBSTITUTE(CLEAN($E21),CHAR(160)," "))),2)="P4",ISNUMBER(SEARCH("INDUSTRIAL HYGIENIST 1 ENVIRONMENT",UPPER(TRIM(SUBSTITUTE(CLEAN($E21),CHAR(160)," ")))))),"PS","GS"))</x:f>
      </x:c>
      <x:c r="R21" s="223" t="str">
        <x:f>IF($Q21="","",IF($Q21="PS",'Data'!$O$5,'Data'!$O$4))</x:f>
      </x:c>
      <x:c r="S21" s="224" t="str">
        <x:f>IF($E21="","",IFERROR(VLOOKUP($E21,'Data'!$A$2:$B$114,2,FALSE),""))</x:f>
      </x:c>
      <x:c r="T21" s="217" t="str">
        <x:f>IF($K21="","",VLOOKUP($K21,'Data'!$I$2:$L$6,2,TRUE))</x:f>
      </x:c>
      <x:c r="U21" s="217" t="str">
        <x:v>Data Entry Clerk - III - Business Support (A) Admin/Finance/HR - B3</x:v>
      </x:c>
      <x:c r="V21" s="221" t="str">
        <x:f>IF($L21="","",$J21*$L21)</x:f>
      </x:c>
      <x:c r="W21" s="221" t="str">
        <x:f>IF($V21="","",$J21+$V21)</x:f>
      </x:c>
      <x:c r="X21" s="217" t="str">
        <x:f>IF($Y21="Ready","Review and inform supplier","")</x:f>
      </x:c>
      <x:c r="Y21" s="217" t="str">
        <x:f>IF(AND($B21="",$E21="",$I21=""),"",IF($B21="","Missing Assignment Number",IF($E21="","Select Job Title",IF($I21="","Enter Pay Rate",IF($S21="","Job Title not found","Ready")))))</x:f>
      </x:c>
    </x:row>
    <x:row r="22" ht="22" customHeight="1">
      <x:c r="A22" s="205"/>
      <x:c r="B22" s="205"/>
      <x:c r="C22" s="206"/>
      <x:c r="D22" s="205"/>
      <x:c r="E22" s="207"/>
      <x:c r="F22" s="208"/>
      <x:c r="G22" s="209" t="str">
        <x:f>IF($S22="","",IFERROR(VLOOKUP($S22,'Data'!$D$2:$G$14,3,FALSE),""))</x:f>
      </x:c>
      <x:c r="H22" s="210" t="str">
        <x:f>IF($G22="","",$G22/'Data'!$O$2/'Data'!$O$3)</x:f>
      </x:c>
      <x:c r="I22" s="211"/>
      <x:c r="J22" s="209" t="str">
        <x:f>IF(OR($E22="",$I22=""),"",$I22*'Data'!$O$2*'Data'!$O$3)</x:f>
      </x:c>
      <x:c r="K22" s="212" t="str">
        <x:f>IF(OR($J22="",$G22=""),"",$J22/$G22)</x:f>
      </x:c>
      <x:c r="L22" s="213" t="str">
        <x:f>IF($K22="","",VLOOKUP($K22,'Data'!$I$2:$L$6,3,TRUE))</x:f>
      </x:c>
      <x:c r="M22" s="210" t="str">
        <x:f>IF($L22="","",$I22*$L22)</x:f>
      </x:c>
      <x:c r="N22" s="214" t="str">
        <x:f>IF($M22="","",ROUNDDOWN($I22+$M22,2))</x:f>
      </x:c>
      <x:c r="O22" s="210" t="str">
        <x:f>IF($N22="","",ROUNDDOWN(ROUNDDOWN($N22,2)*$R22,3))</x:f>
      </x:c>
      <x:c r="P22" s="215"/>
      <x:c r="Q22" s="222" t="str">
        <x:f>IF($E22="","",IF(OR(RIGHT(UPPER(TRIM(SUBSTITUTE(CLEAN($E22),CHAR(160)," "))),2)="P1",RIGHT(UPPER(TRIM(SUBSTITUTE(CLEAN($E22),CHAR(160)," "))),2)="P2",RIGHT(UPPER(TRIM(SUBSTITUTE(CLEAN($E22),CHAR(160)," "))),2)="P3",RIGHT(UPPER(TRIM(SUBSTITUTE(CLEAN($E22),CHAR(160)," "))),2)="P4",ISNUMBER(SEARCH("INDUSTRIAL HYGIENIST 1 ENVIRONMENT",UPPER(TRIM(SUBSTITUTE(CLEAN($E22),CHAR(160)," ")))))),"PS","GS"))</x:f>
      </x:c>
      <x:c r="R22" s="223" t="str">
        <x:f>IF($Q22="","",IF($Q22="PS",'Data'!$O$5,'Data'!$O$4))</x:f>
      </x:c>
      <x:c r="S22" s="224" t="str">
        <x:f>IF($E22="","",IFERROR(VLOOKUP($E22,'Data'!$A$2:$B$114,2,FALSE),""))</x:f>
      </x:c>
      <x:c r="T22" s="217" t="str">
        <x:f>IF($K22="","",VLOOKUP($K22,'Data'!$I$2:$L$6,2,TRUE))</x:f>
      </x:c>
      <x:c r="U22" s="217" t="str">
        <x:v>Documentation Specialist - I - Administrative (B Support / Professional) - P1</x:v>
      </x:c>
      <x:c r="V22" s="221" t="str">
        <x:f>IF($L22="","",$J22*$L22)</x:f>
      </x:c>
      <x:c r="W22" s="221" t="str">
        <x:f>IF($V22="","",$J22+$V22)</x:f>
      </x:c>
      <x:c r="X22" s="217" t="str">
        <x:f>IF($Y22="Ready","Review and inform supplier","")</x:f>
      </x:c>
      <x:c r="Y22" s="217" t="str">
        <x:f>IF(AND($B22="",$E22="",$I22=""),"",IF($B22="","Missing Assignment Number",IF($E22="","Select Job Title",IF($I22="","Enter Pay Rate",IF($S22="","Job Title not found","Ready")))))</x:f>
      </x:c>
    </x:row>
    <x:row r="23" ht="22" customHeight="1">
      <x:c r="A23" s="205"/>
      <x:c r="B23" s="205"/>
      <x:c r="C23" s="206"/>
      <x:c r="D23" s="205"/>
      <x:c r="E23" s="207"/>
      <x:c r="F23" s="208"/>
      <x:c r="G23" s="209" t="str">
        <x:f>IF($S23="","",IFERROR(VLOOKUP($S23,'Data'!$D$2:$G$14,3,FALSE),""))</x:f>
      </x:c>
      <x:c r="H23" s="210" t="str">
        <x:f>IF($G23="","",$G23/'Data'!$O$2/'Data'!$O$3)</x:f>
      </x:c>
      <x:c r="I23" s="211"/>
      <x:c r="J23" s="209" t="str">
        <x:f>IF(OR($E23="",$I23=""),"",$I23*'Data'!$O$2*'Data'!$O$3)</x:f>
      </x:c>
      <x:c r="K23" s="212" t="str">
        <x:f>IF(OR($J23="",$G23=""),"",$J23/$G23)</x:f>
      </x:c>
      <x:c r="L23" s="213" t="str">
        <x:f>IF($K23="","",VLOOKUP($K23,'Data'!$I$2:$L$6,3,TRUE))</x:f>
      </x:c>
      <x:c r="M23" s="210" t="str">
        <x:f>IF($L23="","",$I23*$L23)</x:f>
      </x:c>
      <x:c r="N23" s="214" t="str">
        <x:f>IF($M23="","",ROUNDDOWN($I23+$M23,2))</x:f>
      </x:c>
      <x:c r="O23" s="210" t="str">
        <x:f>IF($N23="","",ROUNDDOWN(ROUNDDOWN($N23,2)*$R23,3))</x:f>
      </x:c>
      <x:c r="P23" s="215"/>
      <x:c r="Q23" s="222" t="str">
        <x:f>IF($E23="","",IF(OR(RIGHT(UPPER(TRIM(SUBSTITUTE(CLEAN($E23),CHAR(160)," "))),2)="P1",RIGHT(UPPER(TRIM(SUBSTITUTE(CLEAN($E23),CHAR(160)," "))),2)="P2",RIGHT(UPPER(TRIM(SUBSTITUTE(CLEAN($E23),CHAR(160)," "))),2)="P3",RIGHT(UPPER(TRIM(SUBSTITUTE(CLEAN($E23),CHAR(160)," "))),2)="P4",ISNUMBER(SEARCH("INDUSTRIAL HYGIENIST 1 ENVIRONMENT",UPPER(TRIM(SUBSTITUTE(CLEAN($E23),CHAR(160)," ")))))),"PS","GS"))</x:f>
      </x:c>
      <x:c r="R23" s="223" t="str">
        <x:f>IF($Q23="","",IF($Q23="PS",'Data'!$O$5,'Data'!$O$4))</x:f>
      </x:c>
      <x:c r="S23" s="224" t="str">
        <x:f>IF($E23="","",IFERROR(VLOOKUP($E23,'Data'!$A$2:$B$114,2,FALSE),""))</x:f>
      </x:c>
      <x:c r="T23" s="217" t="str">
        <x:f>IF($K23="","",VLOOKUP($K23,'Data'!$I$2:$L$6,2,TRUE))</x:f>
      </x:c>
      <x:c r="U23" s="217" t="str">
        <x:v>Documentation Specialist - III - Administrative (B Support / Professional) - B3</x:v>
      </x:c>
      <x:c r="V23" s="221" t="str">
        <x:f>IF($L23="","",$J23*$L23)</x:f>
      </x:c>
      <x:c r="W23" s="221" t="str">
        <x:f>IF($V23="","",$J23+$V23)</x:f>
      </x:c>
      <x:c r="X23" s="217" t="str">
        <x:f>IF($Y23="Ready","Review and inform supplier","")</x:f>
      </x:c>
      <x:c r="Y23" s="217" t="str">
        <x:f>IF(AND($B23="",$E23="",$I23=""),"",IF($B23="","Missing Assignment Number",IF($E23="","Select Job Title",IF($I23="","Enter Pay Rate",IF($S23="","Job Title not found","Ready")))))</x:f>
      </x:c>
    </x:row>
    <x:row r="24" ht="22" customHeight="1">
      <x:c r="A24" s="205"/>
      <x:c r="B24" s="205"/>
      <x:c r="C24" s="206"/>
      <x:c r="D24" s="205"/>
      <x:c r="E24" s="207"/>
      <x:c r="F24" s="208"/>
      <x:c r="G24" s="209" t="str">
        <x:f>IF($S24="","",IFERROR(VLOOKUP($S24,'Data'!$D$2:$G$14,3,FALSE),""))</x:f>
      </x:c>
      <x:c r="H24" s="210" t="str">
        <x:f>IF($G24="","",$G24/'Data'!$O$2/'Data'!$O$3)</x:f>
      </x:c>
      <x:c r="I24" s="211"/>
      <x:c r="J24" s="209" t="str">
        <x:f>IF(OR($E24="",$I24=""),"",$I24*'Data'!$O$2*'Data'!$O$3)</x:f>
      </x:c>
      <x:c r="K24" s="212" t="str">
        <x:f>IF(OR($J24="",$G24=""),"",$J24/$G24)</x:f>
      </x:c>
      <x:c r="L24" s="213" t="str">
        <x:f>IF($K24="","",VLOOKUP($K24,'Data'!$I$2:$L$6,3,TRUE))</x:f>
      </x:c>
      <x:c r="M24" s="210" t="str">
        <x:f>IF($L24="","",$I24*$L24)</x:f>
      </x:c>
      <x:c r="N24" s="214" t="str">
        <x:f>IF($M24="","",ROUNDDOWN($I24+$M24,2))</x:f>
      </x:c>
      <x:c r="O24" s="210" t="str">
        <x:f>IF($N24="","",ROUNDDOWN(ROUNDDOWN($N24,2)*$R24,3))</x:f>
      </x:c>
      <x:c r="P24" s="215"/>
      <x:c r="Q24" s="222" t="str">
        <x:f>IF($E24="","",IF(OR(RIGHT(UPPER(TRIM(SUBSTITUTE(CLEAN($E24),CHAR(160)," "))),2)="P1",RIGHT(UPPER(TRIM(SUBSTITUTE(CLEAN($E24),CHAR(160)," "))),2)="P2",RIGHT(UPPER(TRIM(SUBSTITUTE(CLEAN($E24),CHAR(160)," "))),2)="P3",RIGHT(UPPER(TRIM(SUBSTITUTE(CLEAN($E24),CHAR(160)," "))),2)="P4",ISNUMBER(SEARCH("INDUSTRIAL HYGIENIST 1 ENVIRONMENT",UPPER(TRIM(SUBSTITUTE(CLEAN($E24),CHAR(160)," ")))))),"PS","GS"))</x:f>
      </x:c>
      <x:c r="R24" s="223" t="str">
        <x:f>IF($Q24="","",IF($Q24="PS",'Data'!$O$5,'Data'!$O$4))</x:f>
      </x:c>
      <x:c r="S24" s="224" t="str">
        <x:f>IF($E24="","",IFERROR(VLOOKUP($E24,'Data'!$A$2:$B$114,2,FALSE),""))</x:f>
      </x:c>
      <x:c r="T24" s="217" t="str">
        <x:f>IF($K24="","",VLOOKUP($K24,'Data'!$I$2:$L$6,2,TRUE))</x:f>
      </x:c>
      <x:c r="U24" s="217" t="str">
        <x:v>Electrical Engineer - I - Engineering (P &amp; O Support / Professional) - P1</x:v>
      </x:c>
      <x:c r="V24" s="221" t="str">
        <x:f>IF($L24="","",$J24*$L24)</x:f>
      </x:c>
      <x:c r="W24" s="221" t="str">
        <x:f>IF($V24="","",$J24+$V24)</x:f>
      </x:c>
      <x:c r="X24" s="217" t="str">
        <x:f>IF($Y24="Ready","Review and inform supplier","")</x:f>
      </x:c>
      <x:c r="Y24" s="217" t="str">
        <x:f>IF(AND($B24="",$E24="",$I24=""),"",IF($B24="","Missing Assignment Number",IF($E24="","Select Job Title",IF($I24="","Enter Pay Rate",IF($S24="","Job Title not found","Ready")))))</x:f>
      </x:c>
    </x:row>
    <x:row r="25" ht="22" customHeight="1">
      <x:c r="A25" s="205"/>
      <x:c r="B25" s="205"/>
      <x:c r="C25" s="206"/>
      <x:c r="D25" s="205"/>
      <x:c r="E25" s="207"/>
      <x:c r="F25" s="208"/>
      <x:c r="G25" s="209" t="str">
        <x:f>IF($S25="","",IFERROR(VLOOKUP($S25,'Data'!$D$2:$G$14,3,FALSE),""))</x:f>
      </x:c>
      <x:c r="H25" s="210" t="str">
        <x:f>IF($G25="","",$G25/'Data'!$O$2/'Data'!$O$3)</x:f>
      </x:c>
      <x:c r="I25" s="211"/>
      <x:c r="J25" s="209" t="str">
        <x:f>IF(OR($E25="",$I25=""),"",$I25*'Data'!$O$2*'Data'!$O$3)</x:f>
      </x:c>
      <x:c r="K25" s="212" t="str">
        <x:f>IF(OR($J25="",$G25=""),"",$J25/$G25)</x:f>
      </x:c>
      <x:c r="L25" s="213" t="str">
        <x:f>IF($K25="","",VLOOKUP($K25,'Data'!$I$2:$L$6,3,TRUE))</x:f>
      </x:c>
      <x:c r="M25" s="210" t="str">
        <x:f>IF($L25="","",$I25*$L25)</x:f>
      </x:c>
      <x:c r="N25" s="214" t="str">
        <x:f>IF($M25="","",ROUNDDOWN($I25+$M25,2))</x:f>
      </x:c>
      <x:c r="O25" s="210" t="str">
        <x:f>IF($N25="","",ROUNDDOWN(ROUNDDOWN($N25,2)*$R25,3))</x:f>
      </x:c>
      <x:c r="P25" s="215"/>
      <x:c r="Q25" s="222" t="str">
        <x:f>IF($E25="","",IF(OR(RIGHT(UPPER(TRIM(SUBSTITUTE(CLEAN($E25),CHAR(160)," "))),2)="P1",RIGHT(UPPER(TRIM(SUBSTITUTE(CLEAN($E25),CHAR(160)," "))),2)="P2",RIGHT(UPPER(TRIM(SUBSTITUTE(CLEAN($E25),CHAR(160)," "))),2)="P3",RIGHT(UPPER(TRIM(SUBSTITUTE(CLEAN($E25),CHAR(160)," "))),2)="P4",ISNUMBER(SEARCH("INDUSTRIAL HYGIENIST 1 ENVIRONMENT",UPPER(TRIM(SUBSTITUTE(CLEAN($E25),CHAR(160)," ")))))),"PS","GS"))</x:f>
      </x:c>
      <x:c r="R25" s="223" t="str">
        <x:f>IF($Q25="","",IF($Q25="PS",'Data'!$O$5,'Data'!$O$4))</x:f>
      </x:c>
      <x:c r="S25" s="224" t="str">
        <x:f>IF($E25="","",IFERROR(VLOOKUP($E25,'Data'!$A$2:$B$114,2,FALSE),""))</x:f>
      </x:c>
      <x:c r="T25" s="217" t="str">
        <x:f>IF($K25="","",VLOOKUP($K25,'Data'!$I$2:$L$6,2,TRUE))</x:f>
      </x:c>
      <x:c r="U25" s="217" t="str">
        <x:v>Electrical Engineer - III - Engineering (P &amp; O Support / Professional) - P3</x:v>
      </x:c>
      <x:c r="V25" s="221" t="str">
        <x:f>IF($L25="","",$J25*$L25)</x:f>
      </x:c>
      <x:c r="W25" s="221" t="str">
        <x:f>IF($V25="","",$J25+$V25)</x:f>
      </x:c>
      <x:c r="X25" s="217" t="str">
        <x:f>IF($Y25="Ready","Review and inform supplier","")</x:f>
      </x:c>
      <x:c r="Y25" s="217" t="str">
        <x:f>IF(AND($B25="",$E25="",$I25=""),"",IF($B25="","Missing Assignment Number",IF($E25="","Select Job Title",IF($I25="","Enter Pay Rate",IF($S25="","Job Title not found","Ready")))))</x:f>
      </x:c>
    </x:row>
    <x:row r="26" ht="22" customHeight="1">
      <x:c r="A26" s="205"/>
      <x:c r="B26" s="205"/>
      <x:c r="C26" s="206"/>
      <x:c r="D26" s="205"/>
      <x:c r="E26" s="207"/>
      <x:c r="F26" s="208"/>
      <x:c r="G26" s="209" t="str">
        <x:f>IF($S26="","",IFERROR(VLOOKUP($S26,'Data'!$D$2:$G$14,3,FALSE),""))</x:f>
      </x:c>
      <x:c r="H26" s="210" t="str">
        <x:f>IF($G26="","",$G26/'Data'!$O$2/'Data'!$O$3)</x:f>
      </x:c>
      <x:c r="I26" s="211"/>
      <x:c r="J26" s="209" t="str">
        <x:f>IF(OR($E26="",$I26=""),"",$I26*'Data'!$O$2*'Data'!$O$3)</x:f>
      </x:c>
      <x:c r="K26" s="212" t="str">
        <x:f>IF(OR($J26="",$G26=""),"",$J26/$G26)</x:f>
      </x:c>
      <x:c r="L26" s="213" t="str">
        <x:f>IF($K26="","",VLOOKUP($K26,'Data'!$I$2:$L$6,3,TRUE))</x:f>
      </x:c>
      <x:c r="M26" s="210" t="str">
        <x:f>IF($L26="","",$I26*$L26)</x:f>
      </x:c>
      <x:c r="N26" s="214" t="str">
        <x:f>IF($M26="","",ROUNDDOWN($I26+$M26,2))</x:f>
      </x:c>
      <x:c r="O26" s="210" t="str">
        <x:f>IF($N26="","",ROUNDDOWN(ROUNDDOWN($N26,2)*$R26,3))</x:f>
      </x:c>
      <x:c r="P26" s="215"/>
      <x:c r="Q26" s="222" t="str">
        <x:f>IF($E26="","",IF(OR(RIGHT(UPPER(TRIM(SUBSTITUTE(CLEAN($E26),CHAR(160)," "))),2)="P1",RIGHT(UPPER(TRIM(SUBSTITUTE(CLEAN($E26),CHAR(160)," "))),2)="P2",RIGHT(UPPER(TRIM(SUBSTITUTE(CLEAN($E26),CHAR(160)," "))),2)="P3",RIGHT(UPPER(TRIM(SUBSTITUTE(CLEAN($E26),CHAR(160)," "))),2)="P4",ISNUMBER(SEARCH("INDUSTRIAL HYGIENIST 1 ENVIRONMENT",UPPER(TRIM(SUBSTITUTE(CLEAN($E26),CHAR(160)," ")))))),"PS","GS"))</x:f>
      </x:c>
      <x:c r="R26" s="223" t="str">
        <x:f>IF($Q26="","",IF($Q26="PS",'Data'!$O$5,'Data'!$O$4))</x:f>
      </x:c>
      <x:c r="S26" s="224" t="str">
        <x:f>IF($E26="","",IFERROR(VLOOKUP($E26,'Data'!$A$2:$B$114,2,FALSE),""))</x:f>
      </x:c>
      <x:c r="T26" s="217" t="str">
        <x:f>IF($K26="","",VLOOKUP($K26,'Data'!$I$2:$L$6,2,TRUE))</x:f>
      </x:c>
      <x:c r="U26" s="217" t="str">
        <x:v>Environmental Monitoring Specialist II - Environment Health &amp; Safety P&amp;O Support / Professional P2</x:v>
      </x:c>
      <x:c r="V26" s="221" t="str">
        <x:f>IF($L26="","",$J26*$L26)</x:f>
      </x:c>
      <x:c r="W26" s="221" t="str">
        <x:f>IF($V26="","",$J26+$V26)</x:f>
      </x:c>
      <x:c r="X26" s="217" t="str">
        <x:f>IF($Y26="Ready","Review and inform supplier","")</x:f>
      </x:c>
      <x:c r="Y26" s="217" t="str">
        <x:f>IF(AND($B26="",$E26="",$I26=""),"",IF($B26="","Missing Assignment Number",IF($E26="","Select Job Title",IF($I26="","Enter Pay Rate",IF($S26="","Job Title not found","Ready")))))</x:f>
      </x:c>
    </x:row>
    <x:row r="27" ht="22" customHeight="1">
      <x:c r="A27" s="205"/>
      <x:c r="B27" s="205"/>
      <x:c r="C27" s="206"/>
      <x:c r="D27" s="205"/>
      <x:c r="E27" s="207"/>
      <x:c r="F27" s="208"/>
      <x:c r="G27" s="209" t="str">
        <x:f>IF($S27="","",IFERROR(VLOOKUP($S27,'Data'!$D$2:$G$14,3,FALSE),""))</x:f>
      </x:c>
      <x:c r="H27" s="210" t="str">
        <x:f>IF($G27="","",$G27/'Data'!$O$2/'Data'!$O$3)</x:f>
      </x:c>
      <x:c r="I27" s="211"/>
      <x:c r="J27" s="209" t="str">
        <x:f>IF(OR($E27="",$I27=""),"",$I27*'Data'!$O$2*'Data'!$O$3)</x:f>
      </x:c>
      <x:c r="K27" s="212" t="str">
        <x:f>IF(OR($J27="",$G27=""),"",$J27/$G27)</x:f>
      </x:c>
      <x:c r="L27" s="213" t="str">
        <x:f>IF($K27="","",VLOOKUP($K27,'Data'!$I$2:$L$6,3,TRUE))</x:f>
      </x:c>
      <x:c r="M27" s="210" t="str">
        <x:f>IF($L27="","",$I27*$L27)</x:f>
      </x:c>
      <x:c r="N27" s="214" t="str">
        <x:f>IF($M27="","",ROUNDDOWN($I27+$M27,2))</x:f>
      </x:c>
      <x:c r="O27" s="210" t="str">
        <x:f>IF($N27="","",ROUNDDOWN(ROUNDDOWN($N27,2)*$R27,3))</x:f>
      </x:c>
      <x:c r="P27" s="215"/>
      <x:c r="Q27" s="222" t="str">
        <x:f>IF($E27="","",IF(OR(RIGHT(UPPER(TRIM(SUBSTITUTE(CLEAN($E27),CHAR(160)," "))),2)="P1",RIGHT(UPPER(TRIM(SUBSTITUTE(CLEAN($E27),CHAR(160)," "))),2)="P2",RIGHT(UPPER(TRIM(SUBSTITUTE(CLEAN($E27),CHAR(160)," "))),2)="P3",RIGHT(UPPER(TRIM(SUBSTITUTE(CLEAN($E27),CHAR(160)," "))),2)="P4",ISNUMBER(SEARCH("INDUSTRIAL HYGIENIST 1 ENVIRONMENT",UPPER(TRIM(SUBSTITUTE(CLEAN($E27),CHAR(160)," ")))))),"PS","GS"))</x:f>
      </x:c>
      <x:c r="R27" s="223" t="str">
        <x:f>IF($Q27="","",IF($Q27="PS",'Data'!$O$5,'Data'!$O$4))</x:f>
      </x:c>
      <x:c r="S27" s="224" t="str">
        <x:f>IF($E27="","",IFERROR(VLOOKUP($E27,'Data'!$A$2:$B$114,2,FALSE),""))</x:f>
      </x:c>
      <x:c r="T27" s="217" t="str">
        <x:f>IF($K27="","",VLOOKUP($K27,'Data'!$I$2:$L$6,2,TRUE))</x:f>
      </x:c>
      <x:c r="U27" s="217" t="str">
        <x:v>Executive Assistant - II - Business Support (A) Admin/Finance/HR - B2</x:v>
      </x:c>
      <x:c r="V27" s="221" t="str">
        <x:f>IF($L27="","",$J27*$L27)</x:f>
      </x:c>
      <x:c r="W27" s="221" t="str">
        <x:f>IF($V27="","",$J27+$V27)</x:f>
      </x:c>
      <x:c r="X27" s="217" t="str">
        <x:f>IF($Y27="Ready","Review and inform supplier","")</x:f>
      </x:c>
      <x:c r="Y27" s="217" t="str">
        <x:f>IF(AND($B27="",$E27="",$I27=""),"",IF($B27="","Missing Assignment Number",IF($E27="","Select Job Title",IF($I27="","Enter Pay Rate",IF($S27="","Job Title not found","Ready")))))</x:f>
      </x:c>
    </x:row>
    <x:row r="28" ht="22" customHeight="1">
      <x:c r="A28" s="205"/>
      <x:c r="B28" s="205"/>
      <x:c r="C28" s="206"/>
      <x:c r="D28" s="205"/>
      <x:c r="E28" s="207"/>
      <x:c r="F28" s="208"/>
      <x:c r="G28" s="209" t="str">
        <x:f>IF($S28="","",IFERROR(VLOOKUP($S28,'Data'!$D$2:$G$14,3,FALSE),""))</x:f>
      </x:c>
      <x:c r="H28" s="210" t="str">
        <x:f>IF($G28="","",$G28/'Data'!$O$2/'Data'!$O$3)</x:f>
      </x:c>
      <x:c r="I28" s="211"/>
      <x:c r="J28" s="209" t="str">
        <x:f>IF(OR($E28="",$I28=""),"",$I28*'Data'!$O$2*'Data'!$O$3)</x:f>
      </x:c>
      <x:c r="K28" s="212" t="str">
        <x:f>IF(OR($J28="",$G28=""),"",$J28/$G28)</x:f>
      </x:c>
      <x:c r="L28" s="213" t="str">
        <x:f>IF($K28="","",VLOOKUP($K28,'Data'!$I$2:$L$6,3,TRUE))</x:f>
      </x:c>
      <x:c r="M28" s="210" t="str">
        <x:f>IF($L28="","",$I28*$L28)</x:f>
      </x:c>
      <x:c r="N28" s="214" t="str">
        <x:f>IF($M28="","",ROUNDDOWN($I28+$M28,2))</x:f>
      </x:c>
      <x:c r="O28" s="210" t="str">
        <x:f>IF($N28="","",ROUNDDOWN(ROUNDDOWN($N28,2)*$R28,3))</x:f>
      </x:c>
      <x:c r="P28" s="215"/>
      <x:c r="Q28" s="222" t="str">
        <x:f>IF($E28="","",IF(OR(RIGHT(UPPER(TRIM(SUBSTITUTE(CLEAN($E28),CHAR(160)," "))),2)="P1",RIGHT(UPPER(TRIM(SUBSTITUTE(CLEAN($E28),CHAR(160)," "))),2)="P2",RIGHT(UPPER(TRIM(SUBSTITUTE(CLEAN($E28),CHAR(160)," "))),2)="P3",RIGHT(UPPER(TRIM(SUBSTITUTE(CLEAN($E28),CHAR(160)," "))),2)="P4",ISNUMBER(SEARCH("INDUSTRIAL HYGIENIST 1 ENVIRONMENT",UPPER(TRIM(SUBSTITUTE(CLEAN($E28),CHAR(160)," ")))))),"PS","GS"))</x:f>
      </x:c>
      <x:c r="R28" s="223" t="str">
        <x:f>IF($Q28="","",IF($Q28="PS",'Data'!$O$5,'Data'!$O$4))</x:f>
      </x:c>
      <x:c r="S28" s="224" t="str">
        <x:f>IF($E28="","",IFERROR(VLOOKUP($E28,'Data'!$A$2:$B$114,2,FALSE),""))</x:f>
      </x:c>
      <x:c r="T28" s="217" t="str">
        <x:f>IF($K28="","",VLOOKUP($K28,'Data'!$I$2:$L$6,2,TRUE))</x:f>
      </x:c>
      <x:c r="U28" s="217" t="str">
        <x:v>Health/Safety Specialist - II - Environment Health &amp; Safety (P &amp; O Support / Professional) - P2</x:v>
      </x:c>
      <x:c r="V28" s="221" t="str">
        <x:f>IF($L28="","",$J28*$L28)</x:f>
      </x:c>
      <x:c r="W28" s="221" t="str">
        <x:f>IF($V28="","",$J28+$V28)</x:f>
      </x:c>
      <x:c r="X28" s="217" t="str">
        <x:f>IF($Y28="Ready","Review and inform supplier","")</x:f>
      </x:c>
      <x:c r="Y28" s="217" t="str">
        <x:f>IF(AND($B28="",$E28="",$I28=""),"",IF($B28="","Missing Assignment Number",IF($E28="","Select Job Title",IF($I28="","Enter Pay Rate",IF($S28="","Job Title not found","Ready")))))</x:f>
      </x:c>
    </x:row>
    <x:row r="29" ht="22" customHeight="1">
      <x:c r="A29" s="205"/>
      <x:c r="B29" s="205"/>
      <x:c r="C29" s="206"/>
      <x:c r="D29" s="205"/>
      <x:c r="E29" s="207"/>
      <x:c r="F29" s="208"/>
      <x:c r="G29" s="209" t="str">
        <x:f>IF($S29="","",IFERROR(VLOOKUP($S29,'Data'!$D$2:$G$14,3,FALSE),""))</x:f>
      </x:c>
      <x:c r="H29" s="210" t="str">
        <x:f>IF($G29="","",$G29/'Data'!$O$2/'Data'!$O$3)</x:f>
      </x:c>
      <x:c r="I29" s="211"/>
      <x:c r="J29" s="209" t="str">
        <x:f>IF(OR($E29="",$I29=""),"",$I29*'Data'!$O$2*'Data'!$O$3)</x:f>
      </x:c>
      <x:c r="K29" s="212" t="str">
        <x:f>IF(OR($J29="",$G29=""),"",$J29/$G29)</x:f>
      </x:c>
      <x:c r="L29" s="213" t="str">
        <x:f>IF($K29="","",VLOOKUP($K29,'Data'!$I$2:$L$6,3,TRUE))</x:f>
      </x:c>
      <x:c r="M29" s="210" t="str">
        <x:f>IF($L29="","",$I29*$L29)</x:f>
      </x:c>
      <x:c r="N29" s="214" t="str">
        <x:f>IF($M29="","",ROUNDDOWN($I29+$M29,2))</x:f>
      </x:c>
      <x:c r="O29" s="210" t="str">
        <x:f>IF($N29="","",ROUNDDOWN(ROUNDDOWN($N29,2)*$R29,3))</x:f>
      </x:c>
      <x:c r="P29" s="215"/>
      <x:c r="Q29" s="222" t="str">
        <x:f>IF($E29="","",IF(OR(RIGHT(UPPER(TRIM(SUBSTITUTE(CLEAN($E29),CHAR(160)," "))),2)="P1",RIGHT(UPPER(TRIM(SUBSTITUTE(CLEAN($E29),CHAR(160)," "))),2)="P2",RIGHT(UPPER(TRIM(SUBSTITUTE(CLEAN($E29),CHAR(160)," "))),2)="P3",RIGHT(UPPER(TRIM(SUBSTITUTE(CLEAN($E29),CHAR(160)," "))),2)="P4",ISNUMBER(SEARCH("INDUSTRIAL HYGIENIST 1 ENVIRONMENT",UPPER(TRIM(SUBSTITUTE(CLEAN($E29),CHAR(160)," ")))))),"PS","GS"))</x:f>
      </x:c>
      <x:c r="R29" s="223" t="str">
        <x:f>IF($Q29="","",IF($Q29="PS",'Data'!$O$5,'Data'!$O$4))</x:f>
      </x:c>
      <x:c r="S29" s="224" t="str">
        <x:f>IF($E29="","",IFERROR(VLOOKUP($E29,'Data'!$A$2:$B$114,2,FALSE),""))</x:f>
      </x:c>
      <x:c r="T29" s="217" t="str">
        <x:f>IF($K29="","",VLOOKUP($K29,'Data'!$I$2:$L$6,2,TRUE))</x:f>
      </x:c>
      <x:c r="U29" s="217" t="str">
        <x:v>Health/Safety Specialist - III - Environment Health &amp; Safety (P &amp; O Support / Professional) - P3</x:v>
      </x:c>
      <x:c r="V29" s="221" t="str">
        <x:f>IF($L29="","",$J29*$L29)</x:f>
      </x:c>
      <x:c r="W29" s="221" t="str">
        <x:f>IF($V29="","",$J29+$V29)</x:f>
      </x:c>
      <x:c r="X29" s="217" t="str">
        <x:f>IF($Y29="Ready","Review and inform supplier","")</x:f>
      </x:c>
      <x:c r="Y29" s="217" t="str">
        <x:f>IF(AND($B29="",$E29="",$I29=""),"",IF($B29="","Missing Assignment Number",IF($E29="","Select Job Title",IF($I29="","Enter Pay Rate",IF($S29="","Job Title not found","Ready")))))</x:f>
      </x:c>
    </x:row>
    <x:row r="30" ht="22" customHeight="1">
      <x:c r="A30" s="205"/>
      <x:c r="B30" s="205"/>
      <x:c r="C30" s="206"/>
      <x:c r="D30" s="205"/>
      <x:c r="E30" s="207"/>
      <x:c r="F30" s="208"/>
      <x:c r="G30" s="209" t="str">
        <x:f>IF($S30="","",IFERROR(VLOOKUP($S30,'Data'!$D$2:$G$14,3,FALSE),""))</x:f>
      </x:c>
      <x:c r="H30" s="210" t="str">
        <x:f>IF($G30="","",$G30/'Data'!$O$2/'Data'!$O$3)</x:f>
      </x:c>
      <x:c r="I30" s="211"/>
      <x:c r="J30" s="209" t="str">
        <x:f>IF(OR($E30="",$I30=""),"",$I30*'Data'!$O$2*'Data'!$O$3)</x:f>
      </x:c>
      <x:c r="K30" s="212" t="str">
        <x:f>IF(OR($J30="",$G30=""),"",$J30/$G30)</x:f>
      </x:c>
      <x:c r="L30" s="213" t="str">
        <x:f>IF($K30="","",VLOOKUP($K30,'Data'!$I$2:$L$6,3,TRUE))</x:f>
      </x:c>
      <x:c r="M30" s="210" t="str">
        <x:f>IF($L30="","",$I30*$L30)</x:f>
      </x:c>
      <x:c r="N30" s="214" t="str">
        <x:f>IF($M30="","",ROUNDDOWN($I30+$M30,2))</x:f>
      </x:c>
      <x:c r="O30" s="210" t="str">
        <x:f>IF($N30="","",ROUNDDOWN(ROUNDDOWN($N30,2)*$R30,3))</x:f>
      </x:c>
      <x:c r="P30" s="215"/>
      <x:c r="Q30" s="222" t="str">
        <x:f>IF($E30="","",IF(OR(RIGHT(UPPER(TRIM(SUBSTITUTE(CLEAN($E30),CHAR(160)," "))),2)="P1",RIGHT(UPPER(TRIM(SUBSTITUTE(CLEAN($E30),CHAR(160)," "))),2)="P2",RIGHT(UPPER(TRIM(SUBSTITUTE(CLEAN($E30),CHAR(160)," "))),2)="P3",RIGHT(UPPER(TRIM(SUBSTITUTE(CLEAN($E30),CHAR(160)," "))),2)="P4",ISNUMBER(SEARCH("INDUSTRIAL HYGIENIST 1 ENVIRONMENT",UPPER(TRIM(SUBSTITUTE(CLEAN($E30),CHAR(160)," ")))))),"PS","GS"))</x:f>
      </x:c>
      <x:c r="R30" s="223" t="str">
        <x:f>IF($Q30="","",IF($Q30="PS",'Data'!$O$5,'Data'!$O$4))</x:f>
      </x:c>
      <x:c r="S30" s="224" t="str">
        <x:f>IF($E30="","",IFERROR(VLOOKUP($E30,'Data'!$A$2:$B$114,2,FALSE),""))</x:f>
      </x:c>
      <x:c r="T30" s="217" t="str">
        <x:f>IF($K30="","",VLOOKUP($K30,'Data'!$I$2:$L$6,2,TRUE))</x:f>
      </x:c>
      <x:c r="U30" s="217" t="str">
        <x:v>Health/Safety Specialist - IV - Environment Health &amp; Safety (P &amp; O Support / Professional) - P4</x:v>
      </x:c>
      <x:c r="V30" s="221" t="str">
        <x:f>IF($L30="","",$J30*$L30)</x:f>
      </x:c>
      <x:c r="W30" s="221" t="str">
        <x:f>IF($V30="","",$J30+$V30)</x:f>
      </x:c>
      <x:c r="X30" s="217" t="str">
        <x:f>IF($Y30="Ready","Review and inform supplier","")</x:f>
      </x:c>
      <x:c r="Y30" s="217" t="str">
        <x:f>IF(AND($B30="",$E30="",$I30=""),"",IF($B30="","Missing Assignment Number",IF($E30="","Select Job Title",IF($I30="","Enter Pay Rate",IF($S30="","Job Title not found","Ready")))))</x:f>
      </x:c>
    </x:row>
    <x:row r="31" ht="22" customHeight="1">
      <x:c r="A31" s="205"/>
      <x:c r="B31" s="205"/>
      <x:c r="C31" s="206"/>
      <x:c r="D31" s="205"/>
      <x:c r="E31" s="207"/>
      <x:c r="F31" s="208"/>
      <x:c r="G31" s="209" t="str">
        <x:f>IF($S31="","",IFERROR(VLOOKUP($S31,'Data'!$D$2:$G$14,3,FALSE),""))</x:f>
      </x:c>
      <x:c r="H31" s="210" t="str">
        <x:f>IF($G31="","",$G31/'Data'!$O$2/'Data'!$O$3)</x:f>
      </x:c>
      <x:c r="I31" s="211"/>
      <x:c r="J31" s="209" t="str">
        <x:f>IF(OR($E31="",$I31=""),"",$I31*'Data'!$O$2*'Data'!$O$3)</x:f>
      </x:c>
      <x:c r="K31" s="212" t="str">
        <x:f>IF(OR($J31="",$G31=""),"",$J31/$G31)</x:f>
      </x:c>
      <x:c r="L31" s="213" t="str">
        <x:f>IF($K31="","",VLOOKUP($K31,'Data'!$I$2:$L$6,3,TRUE))</x:f>
      </x:c>
      <x:c r="M31" s="210" t="str">
        <x:f>IF($L31="","",$I31*$L31)</x:f>
      </x:c>
      <x:c r="N31" s="214" t="str">
        <x:f>IF($M31="","",ROUNDDOWN($I31+$M31,2))</x:f>
      </x:c>
      <x:c r="O31" s="210" t="str">
        <x:f>IF($N31="","",ROUNDDOWN(ROUNDDOWN($N31,2)*$R31,3))</x:f>
      </x:c>
      <x:c r="P31" s="215"/>
      <x:c r="Q31" s="222" t="str">
        <x:f>IF($E31="","",IF(OR(RIGHT(UPPER(TRIM(SUBSTITUTE(CLEAN($E31),CHAR(160)," "))),2)="P1",RIGHT(UPPER(TRIM(SUBSTITUTE(CLEAN($E31),CHAR(160)," "))),2)="P2",RIGHT(UPPER(TRIM(SUBSTITUTE(CLEAN($E31),CHAR(160)," "))),2)="P3",RIGHT(UPPER(TRIM(SUBSTITUTE(CLEAN($E31),CHAR(160)," "))),2)="P4",ISNUMBER(SEARCH("INDUSTRIAL HYGIENIST 1 ENVIRONMENT",UPPER(TRIM(SUBSTITUTE(CLEAN($E31),CHAR(160)," ")))))),"PS","GS"))</x:f>
      </x:c>
      <x:c r="R31" s="223" t="str">
        <x:f>IF($Q31="","",IF($Q31="PS",'Data'!$O$5,'Data'!$O$4))</x:f>
      </x:c>
      <x:c r="S31" s="224" t="str">
        <x:f>IF($E31="","",IFERROR(VLOOKUP($E31,'Data'!$A$2:$B$114,2,FALSE),""))</x:f>
      </x:c>
      <x:c r="T31" s="217" t="str">
        <x:f>IF($K31="","",VLOOKUP($K31,'Data'!$I$2:$L$6,2,TRUE))</x:f>
      </x:c>
      <x:c r="U31" s="217" t="str">
        <x:v>HR Analyst - I - Human Resources (B Support / Professional) - P1</x:v>
      </x:c>
      <x:c r="V31" s="221" t="str">
        <x:f>IF($L31="","",$J31*$L31)</x:f>
      </x:c>
      <x:c r="W31" s="221" t="str">
        <x:f>IF($V31="","",$J31+$V31)</x:f>
      </x:c>
      <x:c r="X31" s="217" t="str">
        <x:f>IF($Y31="Ready","Review and inform supplier","")</x:f>
      </x:c>
      <x:c r="Y31" s="217" t="str">
        <x:f>IF(AND($B31="",$E31="",$I31=""),"",IF($B31="","Missing Assignment Number",IF($E31="","Select Job Title",IF($I31="","Enter Pay Rate",IF($S31="","Job Title not found","Ready")))))</x:f>
      </x:c>
    </x:row>
    <x:row r="32" ht="22" customHeight="1">
      <x:c r="A32" s="205"/>
      <x:c r="B32" s="205"/>
      <x:c r="C32" s="206"/>
      <x:c r="D32" s="205"/>
      <x:c r="E32" s="207"/>
      <x:c r="F32" s="208"/>
      <x:c r="G32" s="209" t="str">
        <x:f>IF($S32="","",IFERROR(VLOOKUP($S32,'Data'!$D$2:$G$14,3,FALSE),""))</x:f>
      </x:c>
      <x:c r="H32" s="210" t="str">
        <x:f>IF($G32="","",$G32/'Data'!$O$2/'Data'!$O$3)</x:f>
      </x:c>
      <x:c r="I32" s="211"/>
      <x:c r="J32" s="209" t="str">
        <x:f>IF(OR($E32="",$I32=""),"",$I32*'Data'!$O$2*'Data'!$O$3)</x:f>
      </x:c>
      <x:c r="K32" s="212" t="str">
        <x:f>IF(OR($J32="",$G32=""),"",$J32/$G32)</x:f>
      </x:c>
      <x:c r="L32" s="213" t="str">
        <x:f>IF($K32="","",VLOOKUP($K32,'Data'!$I$2:$L$6,3,TRUE))</x:f>
      </x:c>
      <x:c r="M32" s="210" t="str">
        <x:f>IF($L32="","",$I32*$L32)</x:f>
      </x:c>
      <x:c r="N32" s="214" t="str">
        <x:f>IF($M32="","",ROUNDDOWN($I32+$M32,2))</x:f>
      </x:c>
      <x:c r="O32" s="210" t="str">
        <x:f>IF($N32="","",ROUNDDOWN(ROUNDDOWN($N32,2)*$R32,3))</x:f>
      </x:c>
      <x:c r="P32" s="215"/>
      <x:c r="Q32" s="222" t="str">
        <x:f>IF($E32="","",IF(OR(RIGHT(UPPER(TRIM(SUBSTITUTE(CLEAN($E32),CHAR(160)," "))),2)="P1",RIGHT(UPPER(TRIM(SUBSTITUTE(CLEAN($E32),CHAR(160)," "))),2)="P2",RIGHT(UPPER(TRIM(SUBSTITUTE(CLEAN($E32),CHAR(160)," "))),2)="P3",RIGHT(UPPER(TRIM(SUBSTITUTE(CLEAN($E32),CHAR(160)," "))),2)="P4",ISNUMBER(SEARCH("INDUSTRIAL HYGIENIST 1 ENVIRONMENT",UPPER(TRIM(SUBSTITUTE(CLEAN($E32),CHAR(160)," ")))))),"PS","GS"))</x:f>
      </x:c>
      <x:c r="R32" s="223" t="str">
        <x:f>IF($Q32="","",IF($Q32="PS",'Data'!$O$5,'Data'!$O$4))</x:f>
      </x:c>
      <x:c r="S32" s="224" t="str">
        <x:f>IF($E32="","",IFERROR(VLOOKUP($E32,'Data'!$A$2:$B$114,2,FALSE),""))</x:f>
      </x:c>
      <x:c r="T32" s="217" t="str">
        <x:f>IF($K32="","",VLOOKUP($K32,'Data'!$I$2:$L$6,2,TRUE))</x:f>
      </x:c>
      <x:c r="U32" s="217" t="str">
        <x:v>HR Analyst - II - Human Resources (B Support / Professional) - P2</x:v>
      </x:c>
      <x:c r="V32" s="221" t="str">
        <x:f>IF($L32="","",$J32*$L32)</x:f>
      </x:c>
      <x:c r="W32" s="221" t="str">
        <x:f>IF($V32="","",$J32+$V32)</x:f>
      </x:c>
      <x:c r="X32" s="217" t="str">
        <x:f>IF($Y32="Ready","Review and inform supplier","")</x:f>
      </x:c>
      <x:c r="Y32" s="217" t="str">
        <x:f>IF(AND($B32="",$E32="",$I32=""),"",IF($B32="","Missing Assignment Number",IF($E32="","Select Job Title",IF($I32="","Enter Pay Rate",IF($S32="","Job Title not found","Ready")))))</x:f>
      </x:c>
    </x:row>
    <x:row r="33" ht="22" customHeight="1">
      <x:c r="A33" s="205"/>
      <x:c r="B33" s="205"/>
      <x:c r="C33" s="206"/>
      <x:c r="D33" s="205"/>
      <x:c r="E33" s="207"/>
      <x:c r="F33" s="208"/>
      <x:c r="G33" s="209" t="str">
        <x:f>IF($S33="","",IFERROR(VLOOKUP($S33,'Data'!$D$2:$G$14,3,FALSE),""))</x:f>
      </x:c>
      <x:c r="H33" s="210" t="str">
        <x:f>IF($G33="","",$G33/'Data'!$O$2/'Data'!$O$3)</x:f>
      </x:c>
      <x:c r="I33" s="211"/>
      <x:c r="J33" s="209" t="str">
        <x:f>IF(OR($E33="",$I33=""),"",$I33*'Data'!$O$2*'Data'!$O$3)</x:f>
      </x:c>
      <x:c r="K33" s="212" t="str">
        <x:f>IF(OR($J33="",$G33=""),"",$J33/$G33)</x:f>
      </x:c>
      <x:c r="L33" s="213" t="str">
        <x:f>IF($K33="","",VLOOKUP($K33,'Data'!$I$2:$L$6,3,TRUE))</x:f>
      </x:c>
      <x:c r="M33" s="210" t="str">
        <x:f>IF($L33="","",$I33*$L33)</x:f>
      </x:c>
      <x:c r="N33" s="214" t="str">
        <x:f>IF($M33="","",ROUNDDOWN($I33+$M33,2))</x:f>
      </x:c>
      <x:c r="O33" s="210" t="str">
        <x:f>IF($N33="","",ROUNDDOWN(ROUNDDOWN($N33,2)*$R33,3))</x:f>
      </x:c>
      <x:c r="P33" s="215"/>
      <x:c r="Q33" s="222" t="str">
        <x:f>IF($E33="","",IF(OR(RIGHT(UPPER(TRIM(SUBSTITUTE(CLEAN($E33),CHAR(160)," "))),2)="P1",RIGHT(UPPER(TRIM(SUBSTITUTE(CLEAN($E33),CHAR(160)," "))),2)="P2",RIGHT(UPPER(TRIM(SUBSTITUTE(CLEAN($E33),CHAR(160)," "))),2)="P3",RIGHT(UPPER(TRIM(SUBSTITUTE(CLEAN($E33),CHAR(160)," "))),2)="P4",ISNUMBER(SEARCH("INDUSTRIAL HYGIENIST 1 ENVIRONMENT",UPPER(TRIM(SUBSTITUTE(CLEAN($E33),CHAR(160)," ")))))),"PS","GS"))</x:f>
      </x:c>
      <x:c r="R33" s="223" t="str">
        <x:f>IF($Q33="","",IF($Q33="PS",'Data'!$O$5,'Data'!$O$4))</x:f>
      </x:c>
      <x:c r="S33" s="224" t="str">
        <x:f>IF($E33="","",IFERROR(VLOOKUP($E33,'Data'!$A$2:$B$114,2,FALSE),""))</x:f>
      </x:c>
      <x:c r="T33" s="217" t="str">
        <x:f>IF($K33="","",VLOOKUP($K33,'Data'!$I$2:$L$6,2,TRUE))</x:f>
      </x:c>
      <x:c r="U33" s="217" t="str">
        <x:v>Industrial Hygienist - I - Environment Health  &amp; Safety P&amp;O Support / Professional - P1</x:v>
      </x:c>
      <x:c r="V33" s="221" t="str">
        <x:f>IF($L33="","",$J33*$L33)</x:f>
      </x:c>
      <x:c r="W33" s="221" t="str">
        <x:f>IF($V33="","",$J33+$V33)</x:f>
      </x:c>
      <x:c r="X33" s="217" t="str">
        <x:f>IF($Y33="Ready","Review and inform supplier","")</x:f>
      </x:c>
      <x:c r="Y33" s="217" t="str">
        <x:f>IF(AND($B33="",$E33="",$I33=""),"",IF($B33="","Missing Assignment Number",IF($E33="","Select Job Title",IF($I33="","Enter Pay Rate",IF($S33="","Job Title not found","Ready")))))</x:f>
      </x:c>
    </x:row>
    <x:row r="34" ht="22" customHeight="1">
      <x:c r="A34" s="205"/>
      <x:c r="B34" s="205"/>
      <x:c r="C34" s="206"/>
      <x:c r="D34" s="205"/>
      <x:c r="E34" s="207"/>
      <x:c r="F34" s="208"/>
      <x:c r="G34" s="209" t="str">
        <x:f>IF($S34="","",IFERROR(VLOOKUP($S34,'Data'!$D$2:$G$14,3,FALSE),""))</x:f>
      </x:c>
      <x:c r="H34" s="210" t="str">
        <x:f>IF($G34="","",$G34/'Data'!$O$2/'Data'!$O$3)</x:f>
      </x:c>
      <x:c r="I34" s="211"/>
      <x:c r="J34" s="209" t="str">
        <x:f>IF(OR($E34="",$I34=""),"",$I34*'Data'!$O$2*'Data'!$O$3)</x:f>
      </x:c>
      <x:c r="K34" s="212" t="str">
        <x:f>IF(OR($J34="",$G34=""),"",$J34/$G34)</x:f>
      </x:c>
      <x:c r="L34" s="213" t="str">
        <x:f>IF($K34="","",VLOOKUP($K34,'Data'!$I$2:$L$6,3,TRUE))</x:f>
      </x:c>
      <x:c r="M34" s="210" t="str">
        <x:f>IF($L34="","",$I34*$L34)</x:f>
      </x:c>
      <x:c r="N34" s="214" t="str">
        <x:f>IF($M34="","",ROUNDDOWN($I34+$M34,2))</x:f>
      </x:c>
      <x:c r="O34" s="210" t="str">
        <x:f>IF($N34="","",ROUNDDOWN(ROUNDDOWN($N34,2)*$R34,3))</x:f>
      </x:c>
      <x:c r="P34" s="215"/>
      <x:c r="Q34" s="222" t="str">
        <x:f>IF($E34="","",IF(OR(RIGHT(UPPER(TRIM(SUBSTITUTE(CLEAN($E34),CHAR(160)," "))),2)="P1",RIGHT(UPPER(TRIM(SUBSTITUTE(CLEAN($E34),CHAR(160)," "))),2)="P2",RIGHT(UPPER(TRIM(SUBSTITUTE(CLEAN($E34),CHAR(160)," "))),2)="P3",RIGHT(UPPER(TRIM(SUBSTITUTE(CLEAN($E34),CHAR(160)," "))),2)="P4",ISNUMBER(SEARCH("INDUSTRIAL HYGIENIST 1 ENVIRONMENT",UPPER(TRIM(SUBSTITUTE(CLEAN($E34),CHAR(160)," ")))))),"PS","GS"))</x:f>
      </x:c>
      <x:c r="R34" s="223" t="str">
        <x:f>IF($Q34="","",IF($Q34="PS",'Data'!$O$5,'Data'!$O$4))</x:f>
      </x:c>
      <x:c r="S34" s="224" t="str">
        <x:f>IF($E34="","",IFERROR(VLOOKUP($E34,'Data'!$A$2:$B$114,2,FALSE),""))</x:f>
      </x:c>
      <x:c r="T34" s="217" t="str">
        <x:f>IF($K34="","",VLOOKUP($K34,'Data'!$I$2:$L$6,2,TRUE))</x:f>
      </x:c>
      <x:c r="U34" s="217" t="str">
        <x:v>Industrial Hygienist - II - Environment  Health &amp; Safety P&amp;O Support / Professional - P2</x:v>
      </x:c>
      <x:c r="V34" s="221" t="str">
        <x:f>IF($L34="","",$J34*$L34)</x:f>
      </x:c>
      <x:c r="W34" s="221" t="str">
        <x:f>IF($V34="","",$J34+$V34)</x:f>
      </x:c>
      <x:c r="X34" s="217" t="str">
        <x:f>IF($Y34="Ready","Review and inform supplier","")</x:f>
      </x:c>
      <x:c r="Y34" s="217" t="str">
        <x:f>IF(AND($B34="",$E34="",$I34=""),"",IF($B34="","Missing Assignment Number",IF($E34="","Select Job Title",IF($I34="","Enter Pay Rate",IF($S34="","Job Title not found","Ready")))))</x:f>
      </x:c>
    </x:row>
    <x:row r="35" ht="22" customHeight="1">
      <x:c r="A35" s="205"/>
      <x:c r="B35" s="205"/>
      <x:c r="C35" s="206"/>
      <x:c r="D35" s="205"/>
      <x:c r="E35" s="207"/>
      <x:c r="F35" s="208"/>
      <x:c r="G35" s="209" t="str">
        <x:f>IF($S35="","",IFERROR(VLOOKUP($S35,'Data'!$D$2:$G$14,3,FALSE),""))</x:f>
      </x:c>
      <x:c r="H35" s="210" t="str">
        <x:f>IF($G35="","",$G35/'Data'!$O$2/'Data'!$O$3)</x:f>
      </x:c>
      <x:c r="I35" s="211"/>
      <x:c r="J35" s="209" t="str">
        <x:f>IF(OR($E35="",$I35=""),"",$I35*'Data'!$O$2*'Data'!$O$3)</x:f>
      </x:c>
      <x:c r="K35" s="212" t="str">
        <x:f>IF(OR($J35="",$G35=""),"",$J35/$G35)</x:f>
      </x:c>
      <x:c r="L35" s="213" t="str">
        <x:f>IF($K35="","",VLOOKUP($K35,'Data'!$I$2:$L$6,3,TRUE))</x:f>
      </x:c>
      <x:c r="M35" s="210" t="str">
        <x:f>IF($L35="","",$I35*$L35)</x:f>
      </x:c>
      <x:c r="N35" s="214" t="str">
        <x:f>IF($M35="","",ROUNDDOWN($I35+$M35,2))</x:f>
      </x:c>
      <x:c r="O35" s="210" t="str">
        <x:f>IF($N35="","",ROUNDDOWN(ROUNDDOWN($N35,2)*$R35,3))</x:f>
      </x:c>
      <x:c r="P35" s="215"/>
      <x:c r="Q35" s="222" t="str">
        <x:f>IF($E35="","",IF(OR(RIGHT(UPPER(TRIM(SUBSTITUTE(CLEAN($E35),CHAR(160)," "))),2)="P1",RIGHT(UPPER(TRIM(SUBSTITUTE(CLEAN($E35),CHAR(160)," "))),2)="P2",RIGHT(UPPER(TRIM(SUBSTITUTE(CLEAN($E35),CHAR(160)," "))),2)="P3",RIGHT(UPPER(TRIM(SUBSTITUTE(CLEAN($E35),CHAR(160)," "))),2)="P4",ISNUMBER(SEARCH("INDUSTRIAL HYGIENIST 1 ENVIRONMENT",UPPER(TRIM(SUBSTITUTE(CLEAN($E35),CHAR(160)," ")))))),"PS","GS"))</x:f>
      </x:c>
      <x:c r="R35" s="223" t="str">
        <x:f>IF($Q35="","",IF($Q35="PS",'Data'!$O$5,'Data'!$O$4))</x:f>
      </x:c>
      <x:c r="S35" s="224" t="str">
        <x:f>IF($E35="","",IFERROR(VLOOKUP($E35,'Data'!$A$2:$B$114,2,FALSE),""))</x:f>
      </x:c>
      <x:c r="T35" s="217" t="str">
        <x:f>IF($K35="","",VLOOKUP($K35,'Data'!$I$2:$L$6,2,TRUE))</x:f>
      </x:c>
      <x:c r="U35" s="217" t="str">
        <x:v>Inspector Operator - III - Industrial (P &amp; O Support / Professional) - O3</x:v>
      </x:c>
      <x:c r="V35" s="221" t="str">
        <x:f>IF($L35="","",$J35*$L35)</x:f>
      </x:c>
      <x:c r="W35" s="221" t="str">
        <x:f>IF($V35="","",$J35+$V35)</x:f>
      </x:c>
      <x:c r="X35" s="217" t="str">
        <x:f>IF($Y35="Ready","Review and inform supplier","")</x:f>
      </x:c>
      <x:c r="Y35" s="217" t="str">
        <x:f>IF(AND($B35="",$E35="",$I35=""),"",IF($B35="","Missing Assignment Number",IF($E35="","Select Job Title",IF($I35="","Enter Pay Rate",IF($S35="","Job Title not found","Ready")))))</x:f>
      </x:c>
    </x:row>
    <x:row r="36" ht="22" customHeight="1">
      <x:c r="A36" s="205"/>
      <x:c r="B36" s="205"/>
      <x:c r="C36" s="206"/>
      <x:c r="D36" s="205"/>
      <x:c r="E36" s="207"/>
      <x:c r="F36" s="208"/>
      <x:c r="G36" s="209" t="str">
        <x:f>IF($S36="","",IFERROR(VLOOKUP($S36,'Data'!$D$2:$G$14,3,FALSE),""))</x:f>
      </x:c>
      <x:c r="H36" s="210" t="str">
        <x:f>IF($G36="","",$G36/'Data'!$O$2/'Data'!$O$3)</x:f>
      </x:c>
      <x:c r="I36" s="211"/>
      <x:c r="J36" s="209" t="str">
        <x:f>IF(OR($E36="",$I36=""),"",$I36*'Data'!$O$2*'Data'!$O$3)</x:f>
      </x:c>
      <x:c r="K36" s="212" t="str">
        <x:f>IF(OR($J36="",$G36=""),"",$J36/$G36)</x:f>
      </x:c>
      <x:c r="L36" s="213" t="str">
        <x:f>IF($K36="","",VLOOKUP($K36,'Data'!$I$2:$L$6,3,TRUE))</x:f>
      </x:c>
      <x:c r="M36" s="210" t="str">
        <x:f>IF($L36="","",$I36*$L36)</x:f>
      </x:c>
      <x:c r="N36" s="214" t="str">
        <x:f>IF($M36="","",ROUNDDOWN($I36+$M36,2))</x:f>
      </x:c>
      <x:c r="O36" s="210" t="str">
        <x:f>IF($N36="","",ROUNDDOWN(ROUNDDOWN($N36,2)*$R36,3))</x:f>
      </x:c>
      <x:c r="P36" s="215"/>
      <x:c r="Q36" s="222" t="str">
        <x:f>IF($E36="","",IF(OR(RIGHT(UPPER(TRIM(SUBSTITUTE(CLEAN($E36),CHAR(160)," "))),2)="P1",RIGHT(UPPER(TRIM(SUBSTITUTE(CLEAN($E36),CHAR(160)," "))),2)="P2",RIGHT(UPPER(TRIM(SUBSTITUTE(CLEAN($E36),CHAR(160)," "))),2)="P3",RIGHT(UPPER(TRIM(SUBSTITUTE(CLEAN($E36),CHAR(160)," "))),2)="P4",ISNUMBER(SEARCH("INDUSTRIAL HYGIENIST 1 ENVIRONMENT",UPPER(TRIM(SUBSTITUTE(CLEAN($E36),CHAR(160)," ")))))),"PS","GS"))</x:f>
      </x:c>
      <x:c r="R36" s="223" t="str">
        <x:f>IF($Q36="","",IF($Q36="PS",'Data'!$O$5,'Data'!$O$4))</x:f>
      </x:c>
      <x:c r="S36" s="224" t="str">
        <x:f>IF($E36="","",IFERROR(VLOOKUP($E36,'Data'!$A$2:$B$114,2,FALSE),""))</x:f>
      </x:c>
      <x:c r="T36" s="217" t="str">
        <x:f>IF($K36="","",VLOOKUP($K36,'Data'!$I$2:$L$6,2,TRUE))</x:f>
      </x:c>
      <x:c r="U36" s="217" t="str">
        <x:v>Lab Assistant - III - Business Support (T) Science/Medical/Clinical - B3</x:v>
      </x:c>
      <x:c r="V36" s="221" t="str">
        <x:f>IF($L36="","",$J36*$L36)</x:f>
      </x:c>
      <x:c r="W36" s="221" t="str">
        <x:f>IF($V36="","",$J36+$V36)</x:f>
      </x:c>
      <x:c r="X36" s="217" t="str">
        <x:f>IF($Y36="Ready","Review and inform supplier","")</x:f>
      </x:c>
      <x:c r="Y36" s="217" t="str">
        <x:f>IF(AND($B36="",$E36="",$I36=""),"",IF($B36="","Missing Assignment Number",IF($E36="","Select Job Title",IF($I36="","Enter Pay Rate",IF($S36="","Job Title not found","Ready")))))</x:f>
      </x:c>
    </x:row>
    <x:row r="37" ht="22" customHeight="1">
      <x:c r="A37" s="205"/>
      <x:c r="B37" s="205"/>
      <x:c r="C37" s="206"/>
      <x:c r="D37" s="205"/>
      <x:c r="E37" s="207"/>
      <x:c r="F37" s="208"/>
      <x:c r="G37" s="209" t="str">
        <x:f>IF($S37="","",IFERROR(VLOOKUP($S37,'Data'!$D$2:$G$14,3,FALSE),""))</x:f>
      </x:c>
      <x:c r="H37" s="210" t="str">
        <x:f>IF($G37="","",$G37/'Data'!$O$2/'Data'!$O$3)</x:f>
      </x:c>
      <x:c r="I37" s="211"/>
      <x:c r="J37" s="209" t="str">
        <x:f>IF(OR($E37="",$I37=""),"",$I37*'Data'!$O$2*'Data'!$O$3)</x:f>
      </x:c>
      <x:c r="K37" s="212" t="str">
        <x:f>IF(OR($J37="",$G37=""),"",$J37/$G37)</x:f>
      </x:c>
      <x:c r="L37" s="213" t="str">
        <x:f>IF($K37="","",VLOOKUP($K37,'Data'!$I$2:$L$6,3,TRUE))</x:f>
      </x:c>
      <x:c r="M37" s="210" t="str">
        <x:f>IF($L37="","",$I37*$L37)</x:f>
      </x:c>
      <x:c r="N37" s="214" t="str">
        <x:f>IF($M37="","",ROUNDDOWN($I37+$M37,2))</x:f>
      </x:c>
      <x:c r="O37" s="210" t="str">
        <x:f>IF($N37="","",ROUNDDOWN(ROUNDDOWN($N37,2)*$R37,3))</x:f>
      </x:c>
      <x:c r="P37" s="215"/>
      <x:c r="Q37" s="222" t="str">
        <x:f>IF($E37="","",IF(OR(RIGHT(UPPER(TRIM(SUBSTITUTE(CLEAN($E37),CHAR(160)," "))),2)="P1",RIGHT(UPPER(TRIM(SUBSTITUTE(CLEAN($E37),CHAR(160)," "))),2)="P2",RIGHT(UPPER(TRIM(SUBSTITUTE(CLEAN($E37),CHAR(160)," "))),2)="P3",RIGHT(UPPER(TRIM(SUBSTITUTE(CLEAN($E37),CHAR(160)," "))),2)="P4",ISNUMBER(SEARCH("INDUSTRIAL HYGIENIST 1 ENVIRONMENT",UPPER(TRIM(SUBSTITUTE(CLEAN($E37),CHAR(160)," ")))))),"PS","GS"))</x:f>
      </x:c>
      <x:c r="R37" s="223" t="str">
        <x:f>IF($Q37="","",IF($Q37="PS",'Data'!$O$5,'Data'!$O$4))</x:f>
      </x:c>
      <x:c r="S37" s="224" t="str">
        <x:f>IF($E37="","",IFERROR(VLOOKUP($E37,'Data'!$A$2:$B$114,2,FALSE),""))</x:f>
      </x:c>
      <x:c r="T37" s="217" t="str">
        <x:f>IF($K37="","",VLOOKUP($K37,'Data'!$I$2:$L$6,2,TRUE))</x:f>
      </x:c>
      <x:c r="U37" s="217" t="str">
        <x:v>Lab Technician - Animal - II - Production &amp; Operations Support (T) Science/Medical/Clinical - O2 (Mi</x:v>
      </x:c>
      <x:c r="V37" s="221" t="str">
        <x:f>IF($L37="","",$J37*$L37)</x:f>
      </x:c>
      <x:c r="W37" s="221" t="str">
        <x:f>IF($V37="","",$J37+$V37)</x:f>
      </x:c>
      <x:c r="X37" s="217" t="str">
        <x:f>IF($Y37="Ready","Review and inform supplier","")</x:f>
      </x:c>
      <x:c r="Y37" s="217" t="str">
        <x:f>IF(AND($B37="",$E37="",$I37=""),"",IF($B37="","Missing Assignment Number",IF($E37="","Select Job Title",IF($I37="","Enter Pay Rate",IF($S37="","Job Title not found","Ready")))))</x:f>
      </x:c>
    </x:row>
    <x:row r="38" ht="22" customHeight="1">
      <x:c r="A38" s="205"/>
      <x:c r="B38" s="205"/>
      <x:c r="C38" s="206"/>
      <x:c r="D38" s="205"/>
      <x:c r="E38" s="207"/>
      <x:c r="F38" s="208"/>
      <x:c r="G38" s="209" t="str">
        <x:f>IF($S38="","",IFERROR(VLOOKUP($S38,'Data'!$D$2:$G$14,3,FALSE),""))</x:f>
      </x:c>
      <x:c r="H38" s="210" t="str">
        <x:f>IF($G38="","",$G38/'Data'!$O$2/'Data'!$O$3)</x:f>
      </x:c>
      <x:c r="I38" s="211"/>
      <x:c r="J38" s="209" t="str">
        <x:f>IF(OR($E38="",$I38=""),"",$I38*'Data'!$O$2*'Data'!$O$3)</x:f>
      </x:c>
      <x:c r="K38" s="212" t="str">
        <x:f>IF(OR($J38="",$G38=""),"",$J38/$G38)</x:f>
      </x:c>
      <x:c r="L38" s="213" t="str">
        <x:f>IF($K38="","",VLOOKUP($K38,'Data'!$I$2:$L$6,3,TRUE))</x:f>
      </x:c>
      <x:c r="M38" s="210" t="str">
        <x:f>IF($L38="","",$I38*$L38)</x:f>
      </x:c>
      <x:c r="N38" s="214" t="str">
        <x:f>IF($M38="","",ROUNDDOWN($I38+$M38,2))</x:f>
      </x:c>
      <x:c r="O38" s="210" t="str">
        <x:f>IF($N38="","",ROUNDDOWN(ROUNDDOWN($N38,2)*$R38,3))</x:f>
      </x:c>
      <x:c r="P38" s="215"/>
      <x:c r="Q38" s="222" t="str">
        <x:f>IF($E38="","",IF(OR(RIGHT(UPPER(TRIM(SUBSTITUTE(CLEAN($E38),CHAR(160)," "))),2)="P1",RIGHT(UPPER(TRIM(SUBSTITUTE(CLEAN($E38),CHAR(160)," "))),2)="P2",RIGHT(UPPER(TRIM(SUBSTITUTE(CLEAN($E38),CHAR(160)," "))),2)="P3",RIGHT(UPPER(TRIM(SUBSTITUTE(CLEAN($E38),CHAR(160)," "))),2)="P4",ISNUMBER(SEARCH("INDUSTRIAL HYGIENIST 1 ENVIRONMENT",UPPER(TRIM(SUBSTITUTE(CLEAN($E38),CHAR(160)," ")))))),"PS","GS"))</x:f>
      </x:c>
      <x:c r="R38" s="223" t="str">
        <x:f>IF($Q38="","",IF($Q38="PS",'Data'!$O$5,'Data'!$O$4))</x:f>
      </x:c>
      <x:c r="S38" s="224" t="str">
        <x:f>IF($E38="","",IFERROR(VLOOKUP($E38,'Data'!$A$2:$B$114,2,FALSE),""))</x:f>
      </x:c>
      <x:c r="T38" s="217" t="str">
        <x:f>IF($K38="","",VLOOKUP($K38,'Data'!$I$2:$L$6,2,TRUE))</x:f>
      </x:c>
      <x:c r="U38" s="217" t="str">
        <x:v>Lab Technician - II - Production &amp; Operations Support (T) Science/Medical/Clinical - O2 (High)</x:v>
      </x:c>
      <x:c r="V38" s="221" t="str">
        <x:f>IF($L38="","",$J38*$L38)</x:f>
      </x:c>
      <x:c r="W38" s="221" t="str">
        <x:f>IF($V38="","",$J38+$V38)</x:f>
      </x:c>
      <x:c r="X38" s="217" t="str">
        <x:f>IF($Y38="Ready","Review and inform supplier","")</x:f>
      </x:c>
      <x:c r="Y38" s="217" t="str">
        <x:f>IF(AND($B38="",$E38="",$I38=""),"",IF($B38="","Missing Assignment Number",IF($E38="","Select Job Title",IF($I38="","Enter Pay Rate",IF($S38="","Job Title not found","Ready")))))</x:f>
      </x:c>
    </x:row>
    <x:row r="39" ht="22" customHeight="1">
      <x:c r="A39" s="205"/>
      <x:c r="B39" s="205"/>
      <x:c r="C39" s="206"/>
      <x:c r="D39" s="205"/>
      <x:c r="E39" s="207"/>
      <x:c r="F39" s="208"/>
      <x:c r="G39" s="209" t="str">
        <x:f>IF($S39="","",IFERROR(VLOOKUP($S39,'Data'!$D$2:$G$14,3,FALSE),""))</x:f>
      </x:c>
      <x:c r="H39" s="210" t="str">
        <x:f>IF($G39="","",$G39/'Data'!$O$2/'Data'!$O$3)</x:f>
      </x:c>
      <x:c r="I39" s="211"/>
      <x:c r="J39" s="209" t="str">
        <x:f>IF(OR($E39="",$I39=""),"",$I39*'Data'!$O$2*'Data'!$O$3)</x:f>
      </x:c>
      <x:c r="K39" s="212" t="str">
        <x:f>IF(OR($J39="",$G39=""),"",$J39/$G39)</x:f>
      </x:c>
      <x:c r="L39" s="213" t="str">
        <x:f>IF($K39="","",VLOOKUP($K39,'Data'!$I$2:$L$6,3,TRUE))</x:f>
      </x:c>
      <x:c r="M39" s="210" t="str">
        <x:f>IF($L39="","",$I39*$L39)</x:f>
      </x:c>
      <x:c r="N39" s="214" t="str">
        <x:f>IF($M39="","",ROUNDDOWN($I39+$M39,2))</x:f>
      </x:c>
      <x:c r="O39" s="210" t="str">
        <x:f>IF($N39="","",ROUNDDOWN(ROUNDDOWN($N39,2)*$R39,3))</x:f>
      </x:c>
      <x:c r="P39" s="215"/>
      <x:c r="Q39" s="222" t="str">
        <x:f>IF($E39="","",IF(OR(RIGHT(UPPER(TRIM(SUBSTITUTE(CLEAN($E39),CHAR(160)," "))),2)="P1",RIGHT(UPPER(TRIM(SUBSTITUTE(CLEAN($E39),CHAR(160)," "))),2)="P2",RIGHT(UPPER(TRIM(SUBSTITUTE(CLEAN($E39),CHAR(160)," "))),2)="P3",RIGHT(UPPER(TRIM(SUBSTITUTE(CLEAN($E39),CHAR(160)," "))),2)="P4",ISNUMBER(SEARCH("INDUSTRIAL HYGIENIST 1 ENVIRONMENT",UPPER(TRIM(SUBSTITUTE(CLEAN($E39),CHAR(160)," ")))))),"PS","GS"))</x:f>
      </x:c>
      <x:c r="R39" s="223" t="str">
        <x:f>IF($Q39="","",IF($Q39="PS",'Data'!$O$5,'Data'!$O$4))</x:f>
      </x:c>
      <x:c r="S39" s="224" t="str">
        <x:f>IF($E39="","",IFERROR(VLOOKUP($E39,'Data'!$A$2:$B$114,2,FALSE),""))</x:f>
      </x:c>
      <x:c r="T39" s="217" t="str">
        <x:f>IF($K39="","",VLOOKUP($K39,'Data'!$I$2:$L$6,2,TRUE))</x:f>
      </x:c>
      <x:c r="U39" s="217" t="str">
        <x:v>Lab Technician - II - Production &amp; Operations Support (T) Science/Medical/Clinical - O2 (Mid)</x:v>
      </x:c>
      <x:c r="V39" s="221" t="str">
        <x:f>IF($L39="","",$J39*$L39)</x:f>
      </x:c>
      <x:c r="W39" s="221" t="str">
        <x:f>IF($V39="","",$J39+$V39)</x:f>
      </x:c>
      <x:c r="X39" s="217" t="str">
        <x:f>IF($Y39="Ready","Review and inform supplier","")</x:f>
      </x:c>
      <x:c r="Y39" s="217" t="str">
        <x:f>IF(AND($B39="",$E39="",$I39=""),"",IF($B39="","Missing Assignment Number",IF($E39="","Select Job Title",IF($I39="","Enter Pay Rate",IF($S39="","Job Title not found","Ready")))))</x:f>
      </x:c>
    </x:row>
    <x:row r="40" ht="22" customHeight="1">
      <x:c r="A40" s="205"/>
      <x:c r="B40" s="205"/>
      <x:c r="C40" s="206"/>
      <x:c r="D40" s="205"/>
      <x:c r="E40" s="207"/>
      <x:c r="F40" s="208"/>
      <x:c r="G40" s="209" t="str">
        <x:f>IF($S40="","",IFERROR(VLOOKUP($S40,'Data'!$D$2:$G$14,3,FALSE),""))</x:f>
      </x:c>
      <x:c r="H40" s="210" t="str">
        <x:f>IF($G40="","",$G40/'Data'!$O$2/'Data'!$O$3)</x:f>
      </x:c>
      <x:c r="I40" s="211"/>
      <x:c r="J40" s="209" t="str">
        <x:f>IF(OR($E40="",$I40=""),"",$I40*'Data'!$O$2*'Data'!$O$3)</x:f>
      </x:c>
      <x:c r="K40" s="212" t="str">
        <x:f>IF(OR($J40="",$G40=""),"",$J40/$G40)</x:f>
      </x:c>
      <x:c r="L40" s="213" t="str">
        <x:f>IF($K40="","",VLOOKUP($K40,'Data'!$I$2:$L$6,3,TRUE))</x:f>
      </x:c>
      <x:c r="M40" s="210" t="str">
        <x:f>IF($L40="","",$I40*$L40)</x:f>
      </x:c>
      <x:c r="N40" s="214" t="str">
        <x:f>IF($M40="","",ROUNDDOWN($I40+$M40,2))</x:f>
      </x:c>
      <x:c r="O40" s="210" t="str">
        <x:f>IF($N40="","",ROUNDDOWN(ROUNDDOWN($N40,2)*$R40,3))</x:f>
      </x:c>
      <x:c r="P40" s="215"/>
      <x:c r="Q40" s="222" t="str">
        <x:f>IF($E40="","",IF(OR(RIGHT(UPPER(TRIM(SUBSTITUTE(CLEAN($E40),CHAR(160)," "))),2)="P1",RIGHT(UPPER(TRIM(SUBSTITUTE(CLEAN($E40),CHAR(160)," "))),2)="P2",RIGHT(UPPER(TRIM(SUBSTITUTE(CLEAN($E40),CHAR(160)," "))),2)="P3",RIGHT(UPPER(TRIM(SUBSTITUTE(CLEAN($E40),CHAR(160)," "))),2)="P4",ISNUMBER(SEARCH("INDUSTRIAL HYGIENIST 1 ENVIRONMENT",UPPER(TRIM(SUBSTITUTE(CLEAN($E40),CHAR(160)," ")))))),"PS","GS"))</x:f>
      </x:c>
      <x:c r="R40" s="223" t="str">
        <x:f>IF($Q40="","",IF($Q40="PS",'Data'!$O$5,'Data'!$O$4))</x:f>
      </x:c>
      <x:c r="S40" s="224" t="str">
        <x:f>IF($E40="","",IFERROR(VLOOKUP($E40,'Data'!$A$2:$B$114,2,FALSE),""))</x:f>
      </x:c>
      <x:c r="T40" s="217" t="str">
        <x:f>IF($K40="","",VLOOKUP($K40,'Data'!$I$2:$L$6,2,TRUE))</x:f>
      </x:c>
      <x:c r="U40" s="217" t="str">
        <x:v>Lab Technician - III - Production &amp; Operations Support (T) Science/Medical/Clinical - O3</x:v>
      </x:c>
      <x:c r="V40" s="221" t="str">
        <x:f>IF($L40="","",$J40*$L40)</x:f>
      </x:c>
      <x:c r="W40" s="221" t="str">
        <x:f>IF($V40="","",$J40+$V40)</x:f>
      </x:c>
      <x:c r="X40" s="217" t="str">
        <x:f>IF($Y40="Ready","Review and inform supplier","")</x:f>
      </x:c>
      <x:c r="Y40" s="217" t="str">
        <x:f>IF(AND($B40="",$E40="",$I40=""),"",IF($B40="","Missing Assignment Number",IF($E40="","Select Job Title",IF($I40="","Enter Pay Rate",IF($S40="","Job Title not found","Ready")))))</x:f>
      </x:c>
    </x:row>
    <x:row r="41" ht="22" customHeight="1">
      <x:c r="A41" s="205"/>
      <x:c r="B41" s="205"/>
      <x:c r="C41" s="206"/>
      <x:c r="D41" s="205"/>
      <x:c r="E41" s="207"/>
      <x:c r="F41" s="208"/>
      <x:c r="G41" s="209" t="str">
        <x:f>IF($S41="","",IFERROR(VLOOKUP($S41,'Data'!$D$2:$G$14,3,FALSE),""))</x:f>
      </x:c>
      <x:c r="H41" s="210" t="str">
        <x:f>IF($G41="","",$G41/'Data'!$O$2/'Data'!$O$3)</x:f>
      </x:c>
      <x:c r="I41" s="211"/>
      <x:c r="J41" s="209" t="str">
        <x:f>IF(OR($E41="",$I41=""),"",$I41*'Data'!$O$2*'Data'!$O$3)</x:f>
      </x:c>
      <x:c r="K41" s="212" t="str">
        <x:f>IF(OR($J41="",$G41=""),"",$J41/$G41)</x:f>
      </x:c>
      <x:c r="L41" s="213" t="str">
        <x:f>IF($K41="","",VLOOKUP($K41,'Data'!$I$2:$L$6,3,TRUE))</x:f>
      </x:c>
      <x:c r="M41" s="210" t="str">
        <x:f>IF($L41="","",$I41*$L41)</x:f>
      </x:c>
      <x:c r="N41" s="214" t="str">
        <x:f>IF($M41="","",ROUNDDOWN($I41+$M41,2))</x:f>
      </x:c>
      <x:c r="O41" s="210" t="str">
        <x:f>IF($N41="","",ROUNDDOWN(ROUNDDOWN($N41,2)*$R41,3))</x:f>
      </x:c>
      <x:c r="P41" s="215"/>
      <x:c r="Q41" s="222" t="str">
        <x:f>IF($E41="","",IF(OR(RIGHT(UPPER(TRIM(SUBSTITUTE(CLEAN($E41),CHAR(160)," "))),2)="P1",RIGHT(UPPER(TRIM(SUBSTITUTE(CLEAN($E41),CHAR(160)," "))),2)="P2",RIGHT(UPPER(TRIM(SUBSTITUTE(CLEAN($E41),CHAR(160)," "))),2)="P3",RIGHT(UPPER(TRIM(SUBSTITUTE(CLEAN($E41),CHAR(160)," "))),2)="P4",ISNUMBER(SEARCH("INDUSTRIAL HYGIENIST 1 ENVIRONMENT",UPPER(TRIM(SUBSTITUTE(CLEAN($E41),CHAR(160)," ")))))),"PS","GS"))</x:f>
      </x:c>
      <x:c r="R41" s="223" t="str">
        <x:f>IF($Q41="","",IF($Q41="PS",'Data'!$O$5,'Data'!$O$4))</x:f>
      </x:c>
      <x:c r="S41" s="224" t="str">
        <x:f>IF($E41="","",IFERROR(VLOOKUP($E41,'Data'!$A$2:$B$114,2,FALSE),""))</x:f>
      </x:c>
      <x:c r="T41" s="217" t="str">
        <x:f>IF($K41="","",VLOOKUP($K41,'Data'!$I$2:$L$6,2,TRUE))</x:f>
      </x:c>
      <x:c r="U41" s="217" t="str">
        <x:v>Maintenance Technician - II - Production &amp; Operations Support (T): Industrial - O2 (High)</x:v>
      </x:c>
      <x:c r="V41" s="221" t="str">
        <x:f>IF($L41="","",$J41*$L41)</x:f>
      </x:c>
      <x:c r="W41" s="221" t="str">
        <x:f>IF($V41="","",$J41+$V41)</x:f>
      </x:c>
      <x:c r="X41" s="217" t="str">
        <x:f>IF($Y41="Ready","Review and inform supplier","")</x:f>
      </x:c>
      <x:c r="Y41" s="217" t="str">
        <x:f>IF(AND($B41="",$E41="",$I41=""),"",IF($B41="","Missing Assignment Number",IF($E41="","Select Job Title",IF($I41="","Enter Pay Rate",IF($S41="","Job Title not found","Ready")))))</x:f>
      </x:c>
    </x:row>
    <x:row r="42" ht="22" customHeight="1">
      <x:c r="A42" s="205"/>
      <x:c r="B42" s="205"/>
      <x:c r="C42" s="206"/>
      <x:c r="D42" s="205"/>
      <x:c r="E42" s="207"/>
      <x:c r="F42" s="208"/>
      <x:c r="G42" s="209" t="str">
        <x:f>IF($S42="","",IFERROR(VLOOKUP($S42,'Data'!$D$2:$G$14,3,FALSE),""))</x:f>
      </x:c>
      <x:c r="H42" s="210" t="str">
        <x:f>IF($G42="","",$G42/'Data'!$O$2/'Data'!$O$3)</x:f>
      </x:c>
      <x:c r="I42" s="211"/>
      <x:c r="J42" s="209" t="str">
        <x:f>IF(OR($E42="",$I42=""),"",$I42*'Data'!$O$2*'Data'!$O$3)</x:f>
      </x:c>
      <x:c r="K42" s="212" t="str">
        <x:f>IF(OR($J42="",$G42=""),"",$J42/$G42)</x:f>
      </x:c>
      <x:c r="L42" s="213" t="str">
        <x:f>IF($K42="","",VLOOKUP($K42,'Data'!$I$2:$L$6,3,TRUE))</x:f>
      </x:c>
      <x:c r="M42" s="210" t="str">
        <x:f>IF($L42="","",$I42*$L42)</x:f>
      </x:c>
      <x:c r="N42" s="214" t="str">
        <x:f>IF($M42="","",ROUNDDOWN($I42+$M42,2))</x:f>
      </x:c>
      <x:c r="O42" s="210" t="str">
        <x:f>IF($N42="","",ROUNDDOWN(ROUNDDOWN($N42,2)*$R42,3))</x:f>
      </x:c>
      <x:c r="P42" s="215"/>
      <x:c r="Q42" s="222" t="str">
        <x:f>IF($E42="","",IF(OR(RIGHT(UPPER(TRIM(SUBSTITUTE(CLEAN($E42),CHAR(160)," "))),2)="P1",RIGHT(UPPER(TRIM(SUBSTITUTE(CLEAN($E42),CHAR(160)," "))),2)="P2",RIGHT(UPPER(TRIM(SUBSTITUTE(CLEAN($E42),CHAR(160)," "))),2)="P3",RIGHT(UPPER(TRIM(SUBSTITUTE(CLEAN($E42),CHAR(160)," "))),2)="P4",ISNUMBER(SEARCH("INDUSTRIAL HYGIENIST 1 ENVIRONMENT",UPPER(TRIM(SUBSTITUTE(CLEAN($E42),CHAR(160)," ")))))),"PS","GS"))</x:f>
      </x:c>
      <x:c r="R42" s="223" t="str">
        <x:f>IF($Q42="","",IF($Q42="PS",'Data'!$O$5,'Data'!$O$4))</x:f>
      </x:c>
      <x:c r="S42" s="224" t="str">
        <x:f>IF($E42="","",IFERROR(VLOOKUP($E42,'Data'!$A$2:$B$114,2,FALSE),""))</x:f>
      </x:c>
      <x:c r="T42" s="217" t="str">
        <x:f>IF($K42="","",VLOOKUP($K42,'Data'!$I$2:$L$6,2,TRUE))</x:f>
      </x:c>
      <x:c r="U42" s="217" t="str">
        <x:v>Maintenance Technician - II - Production &amp; Operations Support (T): Industrial O2 High – PS</x:v>
      </x:c>
      <x:c r="V42" s="221" t="str">
        <x:f>IF($L42="","",$J42*$L42)</x:f>
      </x:c>
      <x:c r="W42" s="221" t="str">
        <x:f>IF($V42="","",$J42+$V42)</x:f>
      </x:c>
      <x:c r="X42" s="217" t="str">
        <x:f>IF($Y42="Ready","Review and inform supplier","")</x:f>
      </x:c>
      <x:c r="Y42" s="217" t="str">
        <x:f>IF(AND($B42="",$E42="",$I42=""),"",IF($B42="","Missing Assignment Number",IF($E42="","Select Job Title",IF($I42="","Enter Pay Rate",IF($S42="","Job Title not found","Ready")))))</x:f>
      </x:c>
    </x:row>
    <x:row r="43" ht="22" customHeight="1">
      <x:c r="A43" s="205"/>
      <x:c r="B43" s="205"/>
      <x:c r="C43" s="206"/>
      <x:c r="D43" s="205"/>
      <x:c r="E43" s="207"/>
      <x:c r="F43" s="208"/>
      <x:c r="G43" s="209" t="str">
        <x:f>IF($S43="","",IFERROR(VLOOKUP($S43,'Data'!$D$2:$G$14,3,FALSE),""))</x:f>
      </x:c>
      <x:c r="H43" s="210" t="str">
        <x:f>IF($G43="","",$G43/'Data'!$O$2/'Data'!$O$3)</x:f>
      </x:c>
      <x:c r="I43" s="211"/>
      <x:c r="J43" s="209" t="str">
        <x:f>IF(OR($E43="",$I43=""),"",$I43*'Data'!$O$2*'Data'!$O$3)</x:f>
      </x:c>
      <x:c r="K43" s="212" t="str">
        <x:f>IF(OR($J43="",$G43=""),"",$J43/$G43)</x:f>
      </x:c>
      <x:c r="L43" s="213" t="str">
        <x:f>IF($K43="","",VLOOKUP($K43,'Data'!$I$2:$L$6,3,TRUE))</x:f>
      </x:c>
      <x:c r="M43" s="210" t="str">
        <x:f>IF($L43="","",$I43*$L43)</x:f>
      </x:c>
      <x:c r="N43" s="214" t="str">
        <x:f>IF($M43="","",ROUNDDOWN($I43+$M43,2))</x:f>
      </x:c>
      <x:c r="O43" s="210" t="str">
        <x:f>IF($N43="","",ROUNDDOWN(ROUNDDOWN($N43,2)*$R43,3))</x:f>
      </x:c>
      <x:c r="P43" s="215"/>
      <x:c r="Q43" s="222" t="str">
        <x:f>IF($E43="","",IF(OR(RIGHT(UPPER(TRIM(SUBSTITUTE(CLEAN($E43),CHAR(160)," "))),2)="P1",RIGHT(UPPER(TRIM(SUBSTITUTE(CLEAN($E43),CHAR(160)," "))),2)="P2",RIGHT(UPPER(TRIM(SUBSTITUTE(CLEAN($E43),CHAR(160)," "))),2)="P3",RIGHT(UPPER(TRIM(SUBSTITUTE(CLEAN($E43),CHAR(160)," "))),2)="P4",ISNUMBER(SEARCH("INDUSTRIAL HYGIENIST 1 ENVIRONMENT",UPPER(TRIM(SUBSTITUTE(CLEAN($E43),CHAR(160)," ")))))),"PS","GS"))</x:f>
      </x:c>
      <x:c r="R43" s="223" t="str">
        <x:f>IF($Q43="","",IF($Q43="PS",'Data'!$O$5,'Data'!$O$4))</x:f>
      </x:c>
      <x:c r="S43" s="224" t="str">
        <x:f>IF($E43="","",IFERROR(VLOOKUP($E43,'Data'!$A$2:$B$114,2,FALSE),""))</x:f>
      </x:c>
      <x:c r="T43" s="217" t="str">
        <x:f>IF($K43="","",VLOOKUP($K43,'Data'!$I$2:$L$6,2,TRUE))</x:f>
      </x:c>
      <x:c r="U43" s="217" t="str">
        <x:v>Maintenance Technician - II - Production &amp; Operations Support (T): Industrial O3 – PS</x:v>
      </x:c>
      <x:c r="V43" s="221" t="str">
        <x:f>IF($L43="","",$J43*$L43)</x:f>
      </x:c>
      <x:c r="W43" s="221" t="str">
        <x:f>IF($V43="","",$J43+$V43)</x:f>
      </x:c>
      <x:c r="X43" s="217" t="str">
        <x:f>IF($Y43="Ready","Review and inform supplier","")</x:f>
      </x:c>
      <x:c r="Y43" s="217" t="str">
        <x:f>IF(AND($B43="",$E43="",$I43=""),"",IF($B43="","Missing Assignment Number",IF($E43="","Select Job Title",IF($I43="","Enter Pay Rate",IF($S43="","Job Title not found","Ready")))))</x:f>
      </x:c>
    </x:row>
    <x:row r="44" ht="22" customHeight="1">
      <x:c r="A44" s="205"/>
      <x:c r="B44" s="205"/>
      <x:c r="C44" s="206"/>
      <x:c r="D44" s="205"/>
      <x:c r="E44" s="207"/>
      <x:c r="F44" s="208"/>
      <x:c r="G44" s="209" t="str">
        <x:f>IF($S44="","",IFERROR(VLOOKUP($S44,'Data'!$D$2:$G$14,3,FALSE),""))</x:f>
      </x:c>
      <x:c r="H44" s="210" t="str">
        <x:f>IF($G44="","",$G44/'Data'!$O$2/'Data'!$O$3)</x:f>
      </x:c>
      <x:c r="I44" s="211"/>
      <x:c r="J44" s="209" t="str">
        <x:f>IF(OR($E44="",$I44=""),"",$I44*'Data'!$O$2*'Data'!$O$3)</x:f>
      </x:c>
      <x:c r="K44" s="212" t="str">
        <x:f>IF(OR($J44="",$G44=""),"",$J44/$G44)</x:f>
      </x:c>
      <x:c r="L44" s="213" t="str">
        <x:f>IF($K44="","",VLOOKUP($K44,'Data'!$I$2:$L$6,3,TRUE))</x:f>
      </x:c>
      <x:c r="M44" s="210" t="str">
        <x:f>IF($L44="","",$I44*$L44)</x:f>
      </x:c>
      <x:c r="N44" s="214" t="str">
        <x:f>IF($M44="","",ROUNDDOWN($I44+$M44,2))</x:f>
      </x:c>
      <x:c r="O44" s="210" t="str">
        <x:f>IF($N44="","",ROUNDDOWN(ROUNDDOWN($N44,2)*$R44,3))</x:f>
      </x:c>
      <x:c r="P44" s="215"/>
      <x:c r="Q44" s="222" t="str">
        <x:f>IF($E44="","",IF(OR(RIGHT(UPPER(TRIM(SUBSTITUTE(CLEAN($E44),CHAR(160)," "))),2)="P1",RIGHT(UPPER(TRIM(SUBSTITUTE(CLEAN($E44),CHAR(160)," "))),2)="P2",RIGHT(UPPER(TRIM(SUBSTITUTE(CLEAN($E44),CHAR(160)," "))),2)="P3",RIGHT(UPPER(TRIM(SUBSTITUTE(CLEAN($E44),CHAR(160)," "))),2)="P4",ISNUMBER(SEARCH("INDUSTRIAL HYGIENIST 1 ENVIRONMENT",UPPER(TRIM(SUBSTITUTE(CLEAN($E44),CHAR(160)," ")))))),"PS","GS"))</x:f>
      </x:c>
      <x:c r="R44" s="223" t="str">
        <x:f>IF($Q44="","",IF($Q44="PS",'Data'!$O$5,'Data'!$O$4))</x:f>
      </x:c>
      <x:c r="S44" s="224" t="str">
        <x:f>IF($E44="","",IFERROR(VLOOKUP($E44,'Data'!$A$2:$B$114,2,FALSE),""))</x:f>
      </x:c>
      <x:c r="T44" s="217" t="str">
        <x:f>IF($K44="","",VLOOKUP($K44,'Data'!$I$2:$L$6,2,TRUE))</x:f>
      </x:c>
      <x:c r="U44" s="217" t="str">
        <x:v>Maintenance Technician - II - Production &amp; Operations Support (T): Industrial O4 – PS</x:v>
      </x:c>
      <x:c r="V44" s="221" t="str">
        <x:f>IF($L44="","",$J44*$L44)</x:f>
      </x:c>
      <x:c r="W44" s="221" t="str">
        <x:f>IF($V44="","",$J44+$V44)</x:f>
      </x:c>
      <x:c r="X44" s="217" t="str">
        <x:f>IF($Y44="Ready","Review and inform supplier","")</x:f>
      </x:c>
      <x:c r="Y44" s="217" t="str">
        <x:f>IF(AND($B44="",$E44="",$I44=""),"",IF($B44="","Missing Assignment Number",IF($E44="","Select Job Title",IF($I44="","Enter Pay Rate",IF($S44="","Job Title not found","Ready")))))</x:f>
      </x:c>
    </x:row>
    <x:row r="45" ht="22" customHeight="1">
      <x:c r="A45" s="205"/>
      <x:c r="B45" s="205"/>
      <x:c r="C45" s="206"/>
      <x:c r="D45" s="205"/>
      <x:c r="E45" s="207"/>
      <x:c r="F45" s="208"/>
      <x:c r="G45" s="209" t="str">
        <x:f>IF($S45="","",IFERROR(VLOOKUP($S45,'Data'!$D$2:$G$14,3,FALSE),""))</x:f>
      </x:c>
      <x:c r="H45" s="210" t="str">
        <x:f>IF($G45="","",$G45/'Data'!$O$2/'Data'!$O$3)</x:f>
      </x:c>
      <x:c r="I45" s="211"/>
      <x:c r="J45" s="209" t="str">
        <x:f>IF(OR($E45="",$I45=""),"",$I45*'Data'!$O$2*'Data'!$O$3)</x:f>
      </x:c>
      <x:c r="K45" s="212" t="str">
        <x:f>IF(OR($J45="",$G45=""),"",$J45/$G45)</x:f>
      </x:c>
      <x:c r="L45" s="213" t="str">
        <x:f>IF($K45="","",VLOOKUP($K45,'Data'!$I$2:$L$6,3,TRUE))</x:f>
      </x:c>
      <x:c r="M45" s="210" t="str">
        <x:f>IF($L45="","",$I45*$L45)</x:f>
      </x:c>
      <x:c r="N45" s="214" t="str">
        <x:f>IF($M45="","",ROUNDDOWN($I45+$M45,2))</x:f>
      </x:c>
      <x:c r="O45" s="210" t="str">
        <x:f>IF($N45="","",ROUNDDOWN(ROUNDDOWN($N45,2)*$R45,3))</x:f>
      </x:c>
      <x:c r="P45" s="215"/>
      <x:c r="Q45" s="222" t="str">
        <x:f>IF($E45="","",IF(OR(RIGHT(UPPER(TRIM(SUBSTITUTE(CLEAN($E45),CHAR(160)," "))),2)="P1",RIGHT(UPPER(TRIM(SUBSTITUTE(CLEAN($E45),CHAR(160)," "))),2)="P2",RIGHT(UPPER(TRIM(SUBSTITUTE(CLEAN($E45),CHAR(160)," "))),2)="P3",RIGHT(UPPER(TRIM(SUBSTITUTE(CLEAN($E45),CHAR(160)," "))),2)="P4",ISNUMBER(SEARCH("INDUSTRIAL HYGIENIST 1 ENVIRONMENT",UPPER(TRIM(SUBSTITUTE(CLEAN($E45),CHAR(160)," ")))))),"PS","GS"))</x:f>
      </x:c>
      <x:c r="R45" s="223" t="str">
        <x:f>IF($Q45="","",IF($Q45="PS",'Data'!$O$5,'Data'!$O$4))</x:f>
      </x:c>
      <x:c r="S45" s="224" t="str">
        <x:f>IF($E45="","",IFERROR(VLOOKUP($E45,'Data'!$A$2:$B$114,2,FALSE),""))</x:f>
      </x:c>
      <x:c r="T45" s="217" t="str">
        <x:f>IF($K45="","",VLOOKUP($K45,'Data'!$I$2:$L$6,2,TRUE))</x:f>
      </x:c>
      <x:c r="U45" s="217" t="str">
        <x:v>Maintenance Technician - IV - Production &amp; Operations Support (T): Industrial - O4</x:v>
      </x:c>
      <x:c r="V45" s="221" t="str">
        <x:f>IF($L45="","",$J45*$L45)</x:f>
      </x:c>
      <x:c r="W45" s="221" t="str">
        <x:f>IF($V45="","",$J45+$V45)</x:f>
      </x:c>
      <x:c r="X45" s="217" t="str">
        <x:f>IF($Y45="Ready","Review and inform supplier","")</x:f>
      </x:c>
      <x:c r="Y45" s="217" t="str">
        <x:f>IF(AND($B45="",$E45="",$I45=""),"",IF($B45="","Missing Assignment Number",IF($E45="","Select Job Title",IF($I45="","Enter Pay Rate",IF($S45="","Job Title not found","Ready")))))</x:f>
      </x:c>
    </x:row>
    <x:row r="46" ht="22" customHeight="1">
      <x:c r="A46" s="205"/>
      <x:c r="B46" s="205"/>
      <x:c r="C46" s="206"/>
      <x:c r="D46" s="205"/>
      <x:c r="E46" s="207"/>
      <x:c r="F46" s="208"/>
      <x:c r="G46" s="209" t="str">
        <x:f>IF($S46="","",IFERROR(VLOOKUP($S46,'Data'!$D$2:$G$14,3,FALSE),""))</x:f>
      </x:c>
      <x:c r="H46" s="210" t="str">
        <x:f>IF($G46="","",$G46/'Data'!$O$2/'Data'!$O$3)</x:f>
      </x:c>
      <x:c r="I46" s="211"/>
      <x:c r="J46" s="209" t="str">
        <x:f>IF(OR($E46="",$I46=""),"",$I46*'Data'!$O$2*'Data'!$O$3)</x:f>
      </x:c>
      <x:c r="K46" s="212" t="str">
        <x:f>IF(OR($J46="",$G46=""),"",$J46/$G46)</x:f>
      </x:c>
      <x:c r="L46" s="213" t="str">
        <x:f>IF($K46="","",VLOOKUP($K46,'Data'!$I$2:$L$6,3,TRUE))</x:f>
      </x:c>
      <x:c r="M46" s="210" t="str">
        <x:f>IF($L46="","",$I46*$L46)</x:f>
      </x:c>
      <x:c r="N46" s="214" t="str">
        <x:f>IF($M46="","",ROUNDDOWN($I46+$M46,2))</x:f>
      </x:c>
      <x:c r="O46" s="210" t="str">
        <x:f>IF($N46="","",ROUNDDOWN(ROUNDDOWN($N46,2)*$R46,3))</x:f>
      </x:c>
      <x:c r="P46" s="215"/>
      <x:c r="Q46" s="222" t="str">
        <x:f>IF($E46="","",IF(OR(RIGHT(UPPER(TRIM(SUBSTITUTE(CLEAN($E46),CHAR(160)," "))),2)="P1",RIGHT(UPPER(TRIM(SUBSTITUTE(CLEAN($E46),CHAR(160)," "))),2)="P2",RIGHT(UPPER(TRIM(SUBSTITUTE(CLEAN($E46),CHAR(160)," "))),2)="P3",RIGHT(UPPER(TRIM(SUBSTITUTE(CLEAN($E46),CHAR(160)," "))),2)="P4",ISNUMBER(SEARCH("INDUSTRIAL HYGIENIST 1 ENVIRONMENT",UPPER(TRIM(SUBSTITUTE(CLEAN($E46),CHAR(160)," ")))))),"PS","GS"))</x:f>
      </x:c>
      <x:c r="R46" s="223" t="str">
        <x:f>IF($Q46="","",IF($Q46="PS",'Data'!$O$5,'Data'!$O$4))</x:f>
      </x:c>
      <x:c r="S46" s="224" t="str">
        <x:f>IF($E46="","",IFERROR(VLOOKUP($E46,'Data'!$A$2:$B$114,2,FALSE),""))</x:f>
      </x:c>
      <x:c r="T46" s="217" t="str">
        <x:f>IF($K46="","",VLOOKUP($K46,'Data'!$I$2:$L$6,2,TRUE))</x:f>
      </x:c>
      <x:c r="U46" s="217" t="str">
        <x:v>Marketing Research Specialist - II - Creative (B Support / Professional) - P2</x:v>
      </x:c>
      <x:c r="V46" s="221" t="str">
        <x:f>IF($L46="","",$J46*$L46)</x:f>
      </x:c>
      <x:c r="W46" s="221" t="str">
        <x:f>IF($V46="","",$J46+$V46)</x:f>
      </x:c>
      <x:c r="X46" s="217" t="str">
        <x:f>IF($Y46="Ready","Review and inform supplier","")</x:f>
      </x:c>
      <x:c r="Y46" s="217" t="str">
        <x:f>IF(AND($B46="",$E46="",$I46=""),"",IF($B46="","Missing Assignment Number",IF($E46="","Select Job Title",IF($I46="","Enter Pay Rate",IF($S46="","Job Title not found","Ready")))))</x:f>
      </x:c>
    </x:row>
    <x:row r="47" ht="22" customHeight="1">
      <x:c r="A47" s="205"/>
      <x:c r="B47" s="205"/>
      <x:c r="C47" s="206"/>
      <x:c r="D47" s="205"/>
      <x:c r="E47" s="207"/>
      <x:c r="F47" s="208"/>
      <x:c r="G47" s="209" t="str">
        <x:f>IF($S47="","",IFERROR(VLOOKUP($S47,'Data'!$D$2:$G$14,3,FALSE),""))</x:f>
      </x:c>
      <x:c r="H47" s="210" t="str">
        <x:f>IF($G47="","",$G47/'Data'!$O$2/'Data'!$O$3)</x:f>
      </x:c>
      <x:c r="I47" s="211"/>
      <x:c r="J47" s="209" t="str">
        <x:f>IF(OR($E47="",$I47=""),"",$I47*'Data'!$O$2*'Data'!$O$3)</x:f>
      </x:c>
      <x:c r="K47" s="212" t="str">
        <x:f>IF(OR($J47="",$G47=""),"",$J47/$G47)</x:f>
      </x:c>
      <x:c r="L47" s="213" t="str">
        <x:f>IF($K47="","",VLOOKUP($K47,'Data'!$I$2:$L$6,3,TRUE))</x:f>
      </x:c>
      <x:c r="M47" s="210" t="str">
        <x:f>IF($L47="","",$I47*$L47)</x:f>
      </x:c>
      <x:c r="N47" s="214" t="str">
        <x:f>IF($M47="","",ROUNDDOWN($I47+$M47,2))</x:f>
      </x:c>
      <x:c r="O47" s="210" t="str">
        <x:f>IF($N47="","",ROUNDDOWN(ROUNDDOWN($N47,2)*$R47,3))</x:f>
      </x:c>
      <x:c r="P47" s="215"/>
      <x:c r="Q47" s="222" t="str">
        <x:f>IF($E47="","",IF(OR(RIGHT(UPPER(TRIM(SUBSTITUTE(CLEAN($E47),CHAR(160)," "))),2)="P1",RIGHT(UPPER(TRIM(SUBSTITUTE(CLEAN($E47),CHAR(160)," "))),2)="P2",RIGHT(UPPER(TRIM(SUBSTITUTE(CLEAN($E47),CHAR(160)," "))),2)="P3",RIGHT(UPPER(TRIM(SUBSTITUTE(CLEAN($E47),CHAR(160)," "))),2)="P4",ISNUMBER(SEARCH("INDUSTRIAL HYGIENIST 1 ENVIRONMENT",UPPER(TRIM(SUBSTITUTE(CLEAN($E47),CHAR(160)," ")))))),"PS","GS"))</x:f>
      </x:c>
      <x:c r="R47" s="223" t="str">
        <x:f>IF($Q47="","",IF($Q47="PS",'Data'!$O$5,'Data'!$O$4))</x:f>
      </x:c>
      <x:c r="S47" s="224" t="str">
        <x:f>IF($E47="","",IFERROR(VLOOKUP($E47,'Data'!$A$2:$B$114,2,FALSE),""))</x:f>
      </x:c>
      <x:c r="T47" s="217" t="str">
        <x:f>IF($K47="","",VLOOKUP($K47,'Data'!$I$2:$L$6,2,TRUE))</x:f>
      </x:c>
      <x:c r="U47" s="217" t="str">
        <x:v>Mechanical Engineer - II - Engineering (P &amp; O Support / Professional) - P2</x:v>
      </x:c>
      <x:c r="V47" s="221" t="str">
        <x:f>IF($L47="","",$J47*$L47)</x:f>
      </x:c>
      <x:c r="W47" s="221" t="str">
        <x:f>IF($V47="","",$J47+$V47)</x:f>
      </x:c>
      <x:c r="X47" s="217" t="str">
        <x:f>IF($Y47="Ready","Review and inform supplier","")</x:f>
      </x:c>
      <x:c r="Y47" s="217" t="str">
        <x:f>IF(AND($B47="",$E47="",$I47=""),"",IF($B47="","Missing Assignment Number",IF($E47="","Select Job Title",IF($I47="","Enter Pay Rate",IF($S47="","Job Title not found","Ready")))))</x:f>
      </x:c>
    </x:row>
    <x:row r="48" ht="22" customHeight="1">
      <x:c r="A48" s="205"/>
      <x:c r="B48" s="205"/>
      <x:c r="C48" s="206"/>
      <x:c r="D48" s="205"/>
      <x:c r="E48" s="207"/>
      <x:c r="F48" s="208"/>
      <x:c r="G48" s="209" t="str">
        <x:f>IF($S48="","",IFERROR(VLOOKUP($S48,'Data'!$D$2:$G$14,3,FALSE),""))</x:f>
      </x:c>
      <x:c r="H48" s="210" t="str">
        <x:f>IF($G48="","",$G48/'Data'!$O$2/'Data'!$O$3)</x:f>
      </x:c>
      <x:c r="I48" s="211"/>
      <x:c r="J48" s="209" t="str">
        <x:f>IF(OR($E48="",$I48=""),"",$I48*'Data'!$O$2*'Data'!$O$3)</x:f>
      </x:c>
      <x:c r="K48" s="212" t="str">
        <x:f>IF(OR($J48="",$G48=""),"",$J48/$G48)</x:f>
      </x:c>
      <x:c r="L48" s="213" t="str">
        <x:f>IF($K48="","",VLOOKUP($K48,'Data'!$I$2:$L$6,3,TRUE))</x:f>
      </x:c>
      <x:c r="M48" s="210" t="str">
        <x:f>IF($L48="","",$I48*$L48)</x:f>
      </x:c>
      <x:c r="N48" s="214" t="str">
        <x:f>IF($M48="","",ROUNDDOWN($I48+$M48,2))</x:f>
      </x:c>
      <x:c r="O48" s="210" t="str">
        <x:f>IF($N48="","",ROUNDDOWN(ROUNDDOWN($N48,2)*$R48,3))</x:f>
      </x:c>
      <x:c r="P48" s="215"/>
      <x:c r="Q48" s="222" t="str">
        <x:f>IF($E48="","",IF(OR(RIGHT(UPPER(TRIM(SUBSTITUTE(CLEAN($E48),CHAR(160)," "))),2)="P1",RIGHT(UPPER(TRIM(SUBSTITUTE(CLEAN($E48),CHAR(160)," "))),2)="P2",RIGHT(UPPER(TRIM(SUBSTITUTE(CLEAN($E48),CHAR(160)," "))),2)="P3",RIGHT(UPPER(TRIM(SUBSTITUTE(CLEAN($E48),CHAR(160)," "))),2)="P4",ISNUMBER(SEARCH("INDUSTRIAL HYGIENIST 1 ENVIRONMENT",UPPER(TRIM(SUBSTITUTE(CLEAN($E48),CHAR(160)," ")))))),"PS","GS"))</x:f>
      </x:c>
      <x:c r="R48" s="223" t="str">
        <x:f>IF($Q48="","",IF($Q48="PS",'Data'!$O$5,'Data'!$O$4))</x:f>
      </x:c>
      <x:c r="S48" s="224" t="str">
        <x:f>IF($E48="","",IFERROR(VLOOKUP($E48,'Data'!$A$2:$B$114,2,FALSE),""))</x:f>
      </x:c>
      <x:c r="T48" s="217" t="str">
        <x:f>IF($K48="","",VLOOKUP($K48,'Data'!$I$2:$L$6,2,TRUE))</x:f>
      </x:c>
      <x:c r="U48" s="217" t="str">
        <x:v>Mechanical Engineer - III - Engineering (P &amp; O Support / Professional) - P3</x:v>
      </x:c>
      <x:c r="V48" s="221" t="str">
        <x:f>IF($L48="","",$J48*$L48)</x:f>
      </x:c>
      <x:c r="W48" s="221" t="str">
        <x:f>IF($V48="","",$J48+$V48)</x:f>
      </x:c>
      <x:c r="X48" s="217" t="str">
        <x:f>IF($Y48="Ready","Review and inform supplier","")</x:f>
      </x:c>
      <x:c r="Y48" s="217" t="str">
        <x:f>IF(AND($B48="",$E48="",$I48=""),"",IF($B48="","Missing Assignment Number",IF($E48="","Select Job Title",IF($I48="","Enter Pay Rate",IF($S48="","Job Title not found","Ready")))))</x:f>
      </x:c>
    </x:row>
    <x:row r="49" ht="22" customHeight="1">
      <x:c r="A49" s="205"/>
      <x:c r="B49" s="205"/>
      <x:c r="C49" s="206"/>
      <x:c r="D49" s="205"/>
      <x:c r="E49" s="207"/>
      <x:c r="F49" s="208"/>
      <x:c r="G49" s="209" t="str">
        <x:f>IF($S49="","",IFERROR(VLOOKUP($S49,'Data'!$D$2:$G$14,3,FALSE),""))</x:f>
      </x:c>
      <x:c r="H49" s="210" t="str">
        <x:f>IF($G49="","",$G49/'Data'!$O$2/'Data'!$O$3)</x:f>
      </x:c>
      <x:c r="I49" s="211"/>
      <x:c r="J49" s="209" t="str">
        <x:f>IF(OR($E49="",$I49=""),"",$I49*'Data'!$O$2*'Data'!$O$3)</x:f>
      </x:c>
      <x:c r="K49" s="212" t="str">
        <x:f>IF(OR($J49="",$G49=""),"",$J49/$G49)</x:f>
      </x:c>
      <x:c r="L49" s="213" t="str">
        <x:f>IF($K49="","",VLOOKUP($K49,'Data'!$I$2:$L$6,3,TRUE))</x:f>
      </x:c>
      <x:c r="M49" s="210" t="str">
        <x:f>IF($L49="","",$I49*$L49)</x:f>
      </x:c>
      <x:c r="N49" s="214" t="str">
        <x:f>IF($M49="","",ROUNDDOWN($I49+$M49,2))</x:f>
      </x:c>
      <x:c r="O49" s="210" t="str">
        <x:f>IF($N49="","",ROUNDDOWN(ROUNDDOWN($N49,2)*$R49,3))</x:f>
      </x:c>
      <x:c r="P49" s="215"/>
      <x:c r="Q49" s="222" t="str">
        <x:f>IF($E49="","",IF(OR(RIGHT(UPPER(TRIM(SUBSTITUTE(CLEAN($E49),CHAR(160)," "))),2)="P1",RIGHT(UPPER(TRIM(SUBSTITUTE(CLEAN($E49),CHAR(160)," "))),2)="P2",RIGHT(UPPER(TRIM(SUBSTITUTE(CLEAN($E49),CHAR(160)," "))),2)="P3",RIGHT(UPPER(TRIM(SUBSTITUTE(CLEAN($E49),CHAR(160)," "))),2)="P4",ISNUMBER(SEARCH("INDUSTRIAL HYGIENIST 1 ENVIRONMENT",UPPER(TRIM(SUBSTITUTE(CLEAN($E49),CHAR(160)," ")))))),"PS","GS"))</x:f>
      </x:c>
      <x:c r="R49" s="223" t="str">
        <x:f>IF($Q49="","",IF($Q49="PS",'Data'!$O$5,'Data'!$O$4))</x:f>
      </x:c>
      <x:c r="S49" s="224" t="str">
        <x:f>IF($E49="","",IFERROR(VLOOKUP($E49,'Data'!$A$2:$B$114,2,FALSE),""))</x:f>
      </x:c>
      <x:c r="T49" s="217" t="str">
        <x:f>IF($K49="","",VLOOKUP($K49,'Data'!$I$2:$L$6,2,TRUE))</x:f>
      </x:c>
      <x:c r="U49" s="217" t="str">
        <x:v>Operations Manager - I - Industrial (P &amp; O Support / Professional) - P1</x:v>
      </x:c>
      <x:c r="V49" s="221" t="str">
        <x:f>IF($L49="","",$J49*$L49)</x:f>
      </x:c>
      <x:c r="W49" s="221" t="str">
        <x:f>IF($V49="","",$J49+$V49)</x:f>
      </x:c>
      <x:c r="X49" s="217" t="str">
        <x:f>IF($Y49="Ready","Review and inform supplier","")</x:f>
      </x:c>
      <x:c r="Y49" s="217" t="str">
        <x:f>IF(AND($B49="",$E49="",$I49=""),"",IF($B49="","Missing Assignment Number",IF($E49="","Select Job Title",IF($I49="","Enter Pay Rate",IF($S49="","Job Title not found","Ready")))))</x:f>
      </x:c>
    </x:row>
    <x:row r="50" ht="22" customHeight="1">
      <x:c r="A50" s="205"/>
      <x:c r="B50" s="205"/>
      <x:c r="C50" s="206"/>
      <x:c r="D50" s="205"/>
      <x:c r="E50" s="207"/>
      <x:c r="F50" s="208"/>
      <x:c r="G50" s="209" t="str">
        <x:f>IF($S50="","",IFERROR(VLOOKUP($S50,'Data'!$D$2:$G$14,3,FALSE),""))</x:f>
      </x:c>
      <x:c r="H50" s="210" t="str">
        <x:f>IF($G50="","",$G50/'Data'!$O$2/'Data'!$O$3)</x:f>
      </x:c>
      <x:c r="I50" s="211"/>
      <x:c r="J50" s="209" t="str">
        <x:f>IF(OR($E50="",$I50=""),"",$I50*'Data'!$O$2*'Data'!$O$3)</x:f>
      </x:c>
      <x:c r="K50" s="212" t="str">
        <x:f>IF(OR($J50="",$G50=""),"",$J50/$G50)</x:f>
      </x:c>
      <x:c r="L50" s="213" t="str">
        <x:f>IF($K50="","",VLOOKUP($K50,'Data'!$I$2:$L$6,3,TRUE))</x:f>
      </x:c>
      <x:c r="M50" s="210" t="str">
        <x:f>IF($L50="","",$I50*$L50)</x:f>
      </x:c>
      <x:c r="N50" s="214" t="str">
        <x:f>IF($M50="","",ROUNDDOWN($I50+$M50,2))</x:f>
      </x:c>
      <x:c r="O50" s="210" t="str">
        <x:f>IF($N50="","",ROUNDDOWN(ROUNDDOWN($N50,2)*$R50,3))</x:f>
      </x:c>
      <x:c r="P50" s="215"/>
      <x:c r="Q50" s="222" t="str">
        <x:f>IF($E50="","",IF(OR(RIGHT(UPPER(TRIM(SUBSTITUTE(CLEAN($E50),CHAR(160)," "))),2)="P1",RIGHT(UPPER(TRIM(SUBSTITUTE(CLEAN($E50),CHAR(160)," "))),2)="P2",RIGHT(UPPER(TRIM(SUBSTITUTE(CLEAN($E50),CHAR(160)," "))),2)="P3",RIGHT(UPPER(TRIM(SUBSTITUTE(CLEAN($E50),CHAR(160)," "))),2)="P4",ISNUMBER(SEARCH("INDUSTRIAL HYGIENIST 1 ENVIRONMENT",UPPER(TRIM(SUBSTITUTE(CLEAN($E50),CHAR(160)," ")))))),"PS","GS"))</x:f>
      </x:c>
      <x:c r="R50" s="223" t="str">
        <x:f>IF($Q50="","",IF($Q50="PS",'Data'!$O$5,'Data'!$O$4))</x:f>
      </x:c>
      <x:c r="S50" s="224" t="str">
        <x:f>IF($E50="","",IFERROR(VLOOKUP($E50,'Data'!$A$2:$B$114,2,FALSE),""))</x:f>
      </x:c>
      <x:c r="T50" s="217" t="str">
        <x:f>IF($K50="","",VLOOKUP($K50,'Data'!$I$2:$L$6,2,TRUE))</x:f>
      </x:c>
      <x:c r="U50" s="217" t="str">
        <x:v>Operations Manager - II - Industrial (P &amp; O Support / Professional) - P2</x:v>
      </x:c>
      <x:c r="V50" s="221" t="str">
        <x:f>IF($L50="","",$J50*$L50)</x:f>
      </x:c>
      <x:c r="W50" s="221" t="str">
        <x:f>IF($V50="","",$J50+$V50)</x:f>
      </x:c>
      <x:c r="X50" s="217" t="str">
        <x:f>IF($Y50="Ready","Review and inform supplier","")</x:f>
      </x:c>
      <x:c r="Y50" s="217" t="str">
        <x:f>IF(AND($B50="",$E50="",$I50=""),"",IF($B50="","Missing Assignment Number",IF($E50="","Select Job Title",IF($I50="","Enter Pay Rate",IF($S50="","Job Title not found","Ready")))))</x:f>
      </x:c>
    </x:row>
    <x:row r="51" ht="22" customHeight="1">
      <x:c r="A51" s="205"/>
      <x:c r="B51" s="205"/>
      <x:c r="C51" s="206"/>
      <x:c r="D51" s="205"/>
      <x:c r="E51" s="207"/>
      <x:c r="F51" s="208"/>
      <x:c r="G51" s="209" t="str">
        <x:f>IF($S51="","",IFERROR(VLOOKUP($S51,'Data'!$D$2:$G$14,3,FALSE),""))</x:f>
      </x:c>
      <x:c r="H51" s="210" t="str">
        <x:f>IF($G51="","",$G51/'Data'!$O$2/'Data'!$O$3)</x:f>
      </x:c>
      <x:c r="I51" s="211"/>
      <x:c r="J51" s="209" t="str">
        <x:f>IF(OR($E51="",$I51=""),"",$I51*'Data'!$O$2*'Data'!$O$3)</x:f>
      </x:c>
      <x:c r="K51" s="212" t="str">
        <x:f>IF(OR($J51="",$G51=""),"",$J51/$G51)</x:f>
      </x:c>
      <x:c r="L51" s="213" t="str">
        <x:f>IF($K51="","",VLOOKUP($K51,'Data'!$I$2:$L$6,3,TRUE))</x:f>
      </x:c>
      <x:c r="M51" s="210" t="str">
        <x:f>IF($L51="","",$I51*$L51)</x:f>
      </x:c>
      <x:c r="N51" s="214" t="str">
        <x:f>IF($M51="","",ROUNDDOWN($I51+$M51,2))</x:f>
      </x:c>
      <x:c r="O51" s="210" t="str">
        <x:f>IF($N51="","",ROUNDDOWN(ROUNDDOWN($N51,2)*$R51,3))</x:f>
      </x:c>
      <x:c r="P51" s="215"/>
      <x:c r="Q51" s="222" t="str">
        <x:f>IF($E51="","",IF(OR(RIGHT(UPPER(TRIM(SUBSTITUTE(CLEAN($E51),CHAR(160)," "))),2)="P1",RIGHT(UPPER(TRIM(SUBSTITUTE(CLEAN($E51),CHAR(160)," "))),2)="P2",RIGHT(UPPER(TRIM(SUBSTITUTE(CLEAN($E51),CHAR(160)," "))),2)="P3",RIGHT(UPPER(TRIM(SUBSTITUTE(CLEAN($E51),CHAR(160)," "))),2)="P4",ISNUMBER(SEARCH("INDUSTRIAL HYGIENIST 1 ENVIRONMENT",UPPER(TRIM(SUBSTITUTE(CLEAN($E51),CHAR(160)," ")))))),"PS","GS"))</x:f>
      </x:c>
      <x:c r="R51" s="223" t="str">
        <x:f>IF($Q51="","",IF($Q51="PS",'Data'!$O$5,'Data'!$O$4))</x:f>
      </x:c>
      <x:c r="S51" s="224" t="str">
        <x:f>IF($E51="","",IFERROR(VLOOKUP($E51,'Data'!$A$2:$B$114,2,FALSE),""))</x:f>
      </x:c>
      <x:c r="T51" s="217" t="str">
        <x:f>IF($K51="","",VLOOKUP($K51,'Data'!$I$2:$L$6,2,TRUE))</x:f>
      </x:c>
      <x:c r="U51" s="217" t="str">
        <x:v>Operations Manager - IV - Industrial (P &amp; O Support / Professional) - P4</x:v>
      </x:c>
      <x:c r="V51" s="221" t="str">
        <x:f>IF($L51="","",$J51*$L51)</x:f>
      </x:c>
      <x:c r="W51" s="221" t="str">
        <x:f>IF($V51="","",$J51+$V51)</x:f>
      </x:c>
      <x:c r="X51" s="217" t="str">
        <x:f>IF($Y51="Ready","Review and inform supplier","")</x:f>
      </x:c>
      <x:c r="Y51" s="217" t="str">
        <x:f>IF(AND($B51="",$E51="",$I51=""),"",IF($B51="","Missing Assignment Number",IF($E51="","Select Job Title",IF($I51="","Enter Pay Rate",IF($S51="","Job Title not found","Ready")))))</x:f>
      </x:c>
    </x:row>
    <x:row r="52" ht="22" customHeight="1">
      <x:c r="A52" s="205"/>
      <x:c r="B52" s="205"/>
      <x:c r="C52" s="206"/>
      <x:c r="D52" s="205"/>
      <x:c r="E52" s="207"/>
      <x:c r="F52" s="208"/>
      <x:c r="G52" s="209" t="str">
        <x:f>IF($S52="","",IFERROR(VLOOKUP($S52,'Data'!$D$2:$G$14,3,FALSE),""))</x:f>
      </x:c>
      <x:c r="H52" s="210" t="str">
        <x:f>IF($G52="","",$G52/'Data'!$O$2/'Data'!$O$3)</x:f>
      </x:c>
      <x:c r="I52" s="211"/>
      <x:c r="J52" s="209" t="str">
        <x:f>IF(OR($E52="",$I52=""),"",$I52*'Data'!$O$2*'Data'!$O$3)</x:f>
      </x:c>
      <x:c r="K52" s="212" t="str">
        <x:f>IF(OR($J52="",$G52=""),"",$J52/$G52)</x:f>
      </x:c>
      <x:c r="L52" s="213" t="str">
        <x:f>IF($K52="","",VLOOKUP($K52,'Data'!$I$2:$L$6,3,TRUE))</x:f>
      </x:c>
      <x:c r="M52" s="210" t="str">
        <x:f>IF($L52="","",$I52*$L52)</x:f>
      </x:c>
      <x:c r="N52" s="214" t="str">
        <x:f>IF($M52="","",ROUNDDOWN($I52+$M52,2))</x:f>
      </x:c>
      <x:c r="O52" s="210" t="str">
        <x:f>IF($N52="","",ROUNDDOWN(ROUNDDOWN($N52,2)*$R52,3))</x:f>
      </x:c>
      <x:c r="P52" s="215"/>
      <x:c r="Q52" s="222" t="str">
        <x:f>IF($E52="","",IF(OR(RIGHT(UPPER(TRIM(SUBSTITUTE(CLEAN($E52),CHAR(160)," "))),2)="P1",RIGHT(UPPER(TRIM(SUBSTITUTE(CLEAN($E52),CHAR(160)," "))),2)="P2",RIGHT(UPPER(TRIM(SUBSTITUTE(CLEAN($E52),CHAR(160)," "))),2)="P3",RIGHT(UPPER(TRIM(SUBSTITUTE(CLEAN($E52),CHAR(160)," "))),2)="P4",ISNUMBER(SEARCH("INDUSTRIAL HYGIENIST 1 ENVIRONMENT",UPPER(TRIM(SUBSTITUTE(CLEAN($E52),CHAR(160)," ")))))),"PS","GS"))</x:f>
      </x:c>
      <x:c r="R52" s="223" t="str">
        <x:f>IF($Q52="","",IF($Q52="PS",'Data'!$O$5,'Data'!$O$4))</x:f>
      </x:c>
      <x:c r="S52" s="224" t="str">
        <x:f>IF($E52="","",IFERROR(VLOOKUP($E52,'Data'!$A$2:$B$114,2,FALSE),""))</x:f>
      </x:c>
      <x:c r="T52" s="217" t="str">
        <x:f>IF($K52="","",VLOOKUP($K52,'Data'!$I$2:$L$6,2,TRUE))</x:f>
      </x:c>
      <x:c r="U52" s="217" t="str">
        <x:v>Packaging Engineer - II - Industrial (P &amp; O Support / Professional) - P2</x:v>
      </x:c>
      <x:c r="V52" s="221" t="str">
        <x:f>IF($L52="","",$J52*$L52)</x:f>
      </x:c>
      <x:c r="W52" s="221" t="str">
        <x:f>IF($V52="","",$J52+$V52)</x:f>
      </x:c>
      <x:c r="X52" s="217" t="str">
        <x:f>IF($Y52="Ready","Review and inform supplier","")</x:f>
      </x:c>
      <x:c r="Y52" s="217" t="str">
        <x:f>IF(AND($B52="",$E52="",$I52=""),"",IF($B52="","Missing Assignment Number",IF($E52="","Select Job Title",IF($I52="","Enter Pay Rate",IF($S52="","Job Title not found","Ready")))))</x:f>
      </x:c>
    </x:row>
    <x:row r="53" ht="22" customHeight="1">
      <x:c r="A53" s="205"/>
      <x:c r="B53" s="205"/>
      <x:c r="C53" s="206"/>
      <x:c r="D53" s="205"/>
      <x:c r="E53" s="207"/>
      <x:c r="F53" s="208"/>
      <x:c r="G53" s="209" t="str">
        <x:f>IF($S53="","",IFERROR(VLOOKUP($S53,'Data'!$D$2:$G$14,3,FALSE),""))</x:f>
      </x:c>
      <x:c r="H53" s="210" t="str">
        <x:f>IF($G53="","",$G53/'Data'!$O$2/'Data'!$O$3)</x:f>
      </x:c>
      <x:c r="I53" s="211"/>
      <x:c r="J53" s="209" t="str">
        <x:f>IF(OR($E53="",$I53=""),"",$I53*'Data'!$O$2*'Data'!$O$3)</x:f>
      </x:c>
      <x:c r="K53" s="212" t="str">
        <x:f>IF(OR($J53="",$G53=""),"",$J53/$G53)</x:f>
      </x:c>
      <x:c r="L53" s="213" t="str">
        <x:f>IF($K53="","",VLOOKUP($K53,'Data'!$I$2:$L$6,3,TRUE))</x:f>
      </x:c>
      <x:c r="M53" s="210" t="str">
        <x:f>IF($L53="","",$I53*$L53)</x:f>
      </x:c>
      <x:c r="N53" s="214" t="str">
        <x:f>IF($M53="","",ROUNDDOWN($I53+$M53,2))</x:f>
      </x:c>
      <x:c r="O53" s="210" t="str">
        <x:f>IF($N53="","",ROUNDDOWN(ROUNDDOWN($N53,2)*$R53,3))</x:f>
      </x:c>
      <x:c r="P53" s="215"/>
      <x:c r="Q53" s="222" t="str">
        <x:f>IF($E53="","",IF(OR(RIGHT(UPPER(TRIM(SUBSTITUTE(CLEAN($E53),CHAR(160)," "))),2)="P1",RIGHT(UPPER(TRIM(SUBSTITUTE(CLEAN($E53),CHAR(160)," "))),2)="P2",RIGHT(UPPER(TRIM(SUBSTITUTE(CLEAN($E53),CHAR(160)," "))),2)="P3",RIGHT(UPPER(TRIM(SUBSTITUTE(CLEAN($E53),CHAR(160)," "))),2)="P4",ISNUMBER(SEARCH("INDUSTRIAL HYGIENIST 1 ENVIRONMENT",UPPER(TRIM(SUBSTITUTE(CLEAN($E53),CHAR(160)," ")))))),"PS","GS"))</x:f>
      </x:c>
      <x:c r="R53" s="223" t="str">
        <x:f>IF($Q53="","",IF($Q53="PS",'Data'!$O$5,'Data'!$O$4))</x:f>
      </x:c>
      <x:c r="S53" s="224" t="str">
        <x:f>IF($E53="","",IFERROR(VLOOKUP($E53,'Data'!$A$2:$B$114,2,FALSE),""))</x:f>
      </x:c>
      <x:c r="T53" s="217" t="str">
        <x:f>IF($K53="","",VLOOKUP($K53,'Data'!$I$2:$L$6,2,TRUE))</x:f>
      </x:c>
      <x:c r="U53" s="217" t="str">
        <x:v>Packaging Operator - I - Production &amp; Operations Support (T): Industrial - O1</x:v>
      </x:c>
      <x:c r="V53" s="221" t="str">
        <x:f>IF($L53="","",$J53*$L53)</x:f>
      </x:c>
      <x:c r="W53" s="221" t="str">
        <x:f>IF($V53="","",$J53+$V53)</x:f>
      </x:c>
      <x:c r="X53" s="217" t="str">
        <x:f>IF($Y53="Ready","Review and inform supplier","")</x:f>
      </x:c>
      <x:c r="Y53" s="217" t="str">
        <x:f>IF(AND($B53="",$E53="",$I53=""),"",IF($B53="","Missing Assignment Number",IF($E53="","Select Job Title",IF($I53="","Enter Pay Rate",IF($S53="","Job Title not found","Ready")))))</x:f>
      </x:c>
    </x:row>
    <x:row r="54" ht="22" customHeight="1">
      <x:c r="A54" s="205"/>
      <x:c r="B54" s="205"/>
      <x:c r="C54" s="206"/>
      <x:c r="D54" s="205"/>
      <x:c r="E54" s="207"/>
      <x:c r="F54" s="208"/>
      <x:c r="G54" s="209" t="str">
        <x:f>IF($S54="","",IFERROR(VLOOKUP($S54,'Data'!$D$2:$G$14,3,FALSE),""))</x:f>
      </x:c>
      <x:c r="H54" s="210" t="str">
        <x:f>IF($G54="","",$G54/'Data'!$O$2/'Data'!$O$3)</x:f>
      </x:c>
      <x:c r="I54" s="211"/>
      <x:c r="J54" s="209" t="str">
        <x:f>IF(OR($E54="",$I54=""),"",$I54*'Data'!$O$2*'Data'!$O$3)</x:f>
      </x:c>
      <x:c r="K54" s="212" t="str">
        <x:f>IF(OR($J54="",$G54=""),"",$J54/$G54)</x:f>
      </x:c>
      <x:c r="L54" s="213" t="str">
        <x:f>IF($K54="","",VLOOKUP($K54,'Data'!$I$2:$L$6,3,TRUE))</x:f>
      </x:c>
      <x:c r="M54" s="210" t="str">
        <x:f>IF($L54="","",$I54*$L54)</x:f>
      </x:c>
      <x:c r="N54" s="214" t="str">
        <x:f>IF($M54="","",ROUNDDOWN($I54+$M54,2))</x:f>
      </x:c>
      <x:c r="O54" s="210" t="str">
        <x:f>IF($N54="","",ROUNDDOWN(ROUNDDOWN($N54,2)*$R54,3))</x:f>
      </x:c>
      <x:c r="P54" s="215"/>
      <x:c r="Q54" s="222" t="str">
        <x:f>IF($E54="","",IF(OR(RIGHT(UPPER(TRIM(SUBSTITUTE(CLEAN($E54),CHAR(160)," "))),2)="P1",RIGHT(UPPER(TRIM(SUBSTITUTE(CLEAN($E54),CHAR(160)," "))),2)="P2",RIGHT(UPPER(TRIM(SUBSTITUTE(CLEAN($E54),CHAR(160)," "))),2)="P3",RIGHT(UPPER(TRIM(SUBSTITUTE(CLEAN($E54),CHAR(160)," "))),2)="P4",ISNUMBER(SEARCH("INDUSTRIAL HYGIENIST 1 ENVIRONMENT",UPPER(TRIM(SUBSTITUTE(CLEAN($E54),CHAR(160)," ")))))),"PS","GS"))</x:f>
      </x:c>
      <x:c r="R54" s="223" t="str">
        <x:f>IF($Q54="","",IF($Q54="PS",'Data'!$O$5,'Data'!$O$4))</x:f>
      </x:c>
      <x:c r="S54" s="224" t="str">
        <x:f>IF($E54="","",IFERROR(VLOOKUP($E54,'Data'!$A$2:$B$114,2,FALSE),""))</x:f>
      </x:c>
      <x:c r="T54" s="217" t="str">
        <x:f>IF($K54="","",VLOOKUP($K54,'Data'!$I$2:$L$6,2,TRUE))</x:f>
      </x:c>
      <x:c r="U54" s="217" t="str">
        <x:v>Packaging Operator - II - Production &amp; Operations Support (T): Industrial - O2 (Low)</x:v>
      </x:c>
      <x:c r="V54" s="221" t="str">
        <x:f>IF($L54="","",$J54*$L54)</x:f>
      </x:c>
      <x:c r="W54" s="221" t="str">
        <x:f>IF($V54="","",$J54+$V54)</x:f>
      </x:c>
      <x:c r="X54" s="217" t="str">
        <x:f>IF($Y54="Ready","Review and inform supplier","")</x:f>
      </x:c>
      <x:c r="Y54" s="217" t="str">
        <x:f>IF(AND($B54="",$E54="",$I54=""),"",IF($B54="","Missing Assignment Number",IF($E54="","Select Job Title",IF($I54="","Enter Pay Rate",IF($S54="","Job Title not found","Ready")))))</x:f>
      </x:c>
    </x:row>
    <x:row r="55" ht="22" customHeight="1">
      <x:c r="A55" s="205"/>
      <x:c r="B55" s="205"/>
      <x:c r="C55" s="206"/>
      <x:c r="D55" s="205"/>
      <x:c r="E55" s="207"/>
      <x:c r="F55" s="208"/>
      <x:c r="G55" s="209" t="str">
        <x:f>IF($S55="","",IFERROR(VLOOKUP($S55,'Data'!$D$2:$G$14,3,FALSE),""))</x:f>
      </x:c>
      <x:c r="H55" s="210" t="str">
        <x:f>IF($G55="","",$G55/'Data'!$O$2/'Data'!$O$3)</x:f>
      </x:c>
      <x:c r="I55" s="211"/>
      <x:c r="J55" s="209" t="str">
        <x:f>IF(OR($E55="",$I55=""),"",$I55*'Data'!$O$2*'Data'!$O$3)</x:f>
      </x:c>
      <x:c r="K55" s="212" t="str">
        <x:f>IF(OR($J55="",$G55=""),"",$J55/$G55)</x:f>
      </x:c>
      <x:c r="L55" s="213" t="str">
        <x:f>IF($K55="","",VLOOKUP($K55,'Data'!$I$2:$L$6,3,TRUE))</x:f>
      </x:c>
      <x:c r="M55" s="210" t="str">
        <x:f>IF($L55="","",$I55*$L55)</x:f>
      </x:c>
      <x:c r="N55" s="214" t="str">
        <x:f>IF($M55="","",ROUNDDOWN($I55+$M55,2))</x:f>
      </x:c>
      <x:c r="O55" s="210" t="str">
        <x:f>IF($N55="","",ROUNDDOWN(ROUNDDOWN($N55,2)*$R55,3))</x:f>
      </x:c>
      <x:c r="P55" s="215"/>
      <x:c r="Q55" s="222" t="str">
        <x:f>IF($E55="","",IF(OR(RIGHT(UPPER(TRIM(SUBSTITUTE(CLEAN($E55),CHAR(160)," "))),2)="P1",RIGHT(UPPER(TRIM(SUBSTITUTE(CLEAN($E55),CHAR(160)," "))),2)="P2",RIGHT(UPPER(TRIM(SUBSTITUTE(CLEAN($E55),CHAR(160)," "))),2)="P3",RIGHT(UPPER(TRIM(SUBSTITUTE(CLEAN($E55),CHAR(160)," "))),2)="P4",ISNUMBER(SEARCH("INDUSTRIAL HYGIENIST 1 ENVIRONMENT",UPPER(TRIM(SUBSTITUTE(CLEAN($E55),CHAR(160)," ")))))),"PS","GS"))</x:f>
      </x:c>
      <x:c r="R55" s="223" t="str">
        <x:f>IF($Q55="","",IF($Q55="PS",'Data'!$O$5,'Data'!$O$4))</x:f>
      </x:c>
      <x:c r="S55" s="224" t="str">
        <x:f>IF($E55="","",IFERROR(VLOOKUP($E55,'Data'!$A$2:$B$114,2,FALSE),""))</x:f>
      </x:c>
      <x:c r="T55" s="217" t="str">
        <x:f>IF($K55="","",VLOOKUP($K55,'Data'!$I$2:$L$6,2,TRUE))</x:f>
      </x:c>
      <x:c r="U55" s="217" t="str">
        <x:v>Packaging Operator - II - Production &amp; Operations Support (T): Industrial - O2 (Mid)</x:v>
      </x:c>
      <x:c r="V55" s="221" t="str">
        <x:f>IF($L55="","",$J55*$L55)</x:f>
      </x:c>
      <x:c r="W55" s="221" t="str">
        <x:f>IF($V55="","",$J55+$V55)</x:f>
      </x:c>
      <x:c r="X55" s="217" t="str">
        <x:f>IF($Y55="Ready","Review and inform supplier","")</x:f>
      </x:c>
      <x:c r="Y55" s="217" t="str">
        <x:f>IF(AND($B55="",$E55="",$I55=""),"",IF($B55="","Missing Assignment Number",IF($E55="","Select Job Title",IF($I55="","Enter Pay Rate",IF($S55="","Job Title not found","Ready")))))</x:f>
      </x:c>
    </x:row>
    <x:row r="56" ht="22" customHeight="1">
      <x:c r="A56" s="205"/>
      <x:c r="B56" s="205"/>
      <x:c r="C56" s="206"/>
      <x:c r="D56" s="205"/>
      <x:c r="E56" s="207"/>
      <x:c r="F56" s="208"/>
      <x:c r="G56" s="209" t="str">
        <x:f>IF($S56="","",IFERROR(VLOOKUP($S56,'Data'!$D$2:$G$14,3,FALSE),""))</x:f>
      </x:c>
      <x:c r="H56" s="210" t="str">
        <x:f>IF($G56="","",$G56/'Data'!$O$2/'Data'!$O$3)</x:f>
      </x:c>
      <x:c r="I56" s="211"/>
      <x:c r="J56" s="209" t="str">
        <x:f>IF(OR($E56="",$I56=""),"",$I56*'Data'!$O$2*'Data'!$O$3)</x:f>
      </x:c>
      <x:c r="K56" s="212" t="str">
        <x:f>IF(OR($J56="",$G56=""),"",$J56/$G56)</x:f>
      </x:c>
      <x:c r="L56" s="213" t="str">
        <x:f>IF($K56="","",VLOOKUP($K56,'Data'!$I$2:$L$6,3,TRUE))</x:f>
      </x:c>
      <x:c r="M56" s="210" t="str">
        <x:f>IF($L56="","",$I56*$L56)</x:f>
      </x:c>
      <x:c r="N56" s="214" t="str">
        <x:f>IF($M56="","",ROUNDDOWN($I56+$M56,2))</x:f>
      </x:c>
      <x:c r="O56" s="210" t="str">
        <x:f>IF($N56="","",ROUNDDOWN(ROUNDDOWN($N56,2)*$R56,3))</x:f>
      </x:c>
      <x:c r="P56" s="215"/>
      <x:c r="Q56" s="222" t="str">
        <x:f>IF($E56="","",IF(OR(RIGHT(UPPER(TRIM(SUBSTITUTE(CLEAN($E56),CHAR(160)," "))),2)="P1",RIGHT(UPPER(TRIM(SUBSTITUTE(CLEAN($E56),CHAR(160)," "))),2)="P2",RIGHT(UPPER(TRIM(SUBSTITUTE(CLEAN($E56),CHAR(160)," "))),2)="P3",RIGHT(UPPER(TRIM(SUBSTITUTE(CLEAN($E56),CHAR(160)," "))),2)="P4",ISNUMBER(SEARCH("INDUSTRIAL HYGIENIST 1 ENVIRONMENT",UPPER(TRIM(SUBSTITUTE(CLEAN($E56),CHAR(160)," ")))))),"PS","GS"))</x:f>
      </x:c>
      <x:c r="R56" s="223" t="str">
        <x:f>IF($Q56="","",IF($Q56="PS",'Data'!$O$5,'Data'!$O$4))</x:f>
      </x:c>
      <x:c r="S56" s="224" t="str">
        <x:f>IF($E56="","",IFERROR(VLOOKUP($E56,'Data'!$A$2:$B$114,2,FALSE),""))</x:f>
      </x:c>
      <x:c r="T56" s="217" t="str">
        <x:f>IF($K56="","",VLOOKUP($K56,'Data'!$I$2:$L$6,2,TRUE))</x:f>
      </x:c>
      <x:c r="U56" s="217" t="str">
        <x:v>Packaging Operator - III - Production &amp; Operations Support (T): Industrial - O3</x:v>
      </x:c>
      <x:c r="V56" s="221" t="str">
        <x:f>IF($L56="","",$J56*$L56)</x:f>
      </x:c>
      <x:c r="W56" s="221" t="str">
        <x:f>IF($V56="","",$J56+$V56)</x:f>
      </x:c>
      <x:c r="X56" s="217" t="str">
        <x:f>IF($Y56="Ready","Review and inform supplier","")</x:f>
      </x:c>
      <x:c r="Y56" s="217" t="str">
        <x:f>IF(AND($B56="",$E56="",$I56=""),"",IF($B56="","Missing Assignment Number",IF($E56="","Select Job Title",IF($I56="","Enter Pay Rate",IF($S56="","Job Title not found","Ready")))))</x:f>
      </x:c>
    </x:row>
    <x:row r="57" ht="22" customHeight="1">
      <x:c r="A57" s="205"/>
      <x:c r="B57" s="205"/>
      <x:c r="C57" s="206"/>
      <x:c r="D57" s="205"/>
      <x:c r="E57" s="207"/>
      <x:c r="F57" s="208"/>
      <x:c r="G57" s="209" t="str">
        <x:f>IF($S57="","",IFERROR(VLOOKUP($S57,'Data'!$D$2:$G$14,3,FALSE),""))</x:f>
      </x:c>
      <x:c r="H57" s="210" t="str">
        <x:f>IF($G57="","",$G57/'Data'!$O$2/'Data'!$O$3)</x:f>
      </x:c>
      <x:c r="I57" s="211"/>
      <x:c r="J57" s="209" t="str">
        <x:f>IF(OR($E57="",$I57=""),"",$I57*'Data'!$O$2*'Data'!$O$3)</x:f>
      </x:c>
      <x:c r="K57" s="212" t="str">
        <x:f>IF(OR($J57="",$G57=""),"",$J57/$G57)</x:f>
      </x:c>
      <x:c r="L57" s="213" t="str">
        <x:f>IF($K57="","",VLOOKUP($K57,'Data'!$I$2:$L$6,3,TRUE))</x:f>
      </x:c>
      <x:c r="M57" s="210" t="str">
        <x:f>IF($L57="","",$I57*$L57)</x:f>
      </x:c>
      <x:c r="N57" s="214" t="str">
        <x:f>IF($M57="","",ROUNDDOWN($I57+$M57,2))</x:f>
      </x:c>
      <x:c r="O57" s="210" t="str">
        <x:f>IF($N57="","",ROUNDDOWN(ROUNDDOWN($N57,2)*$R57,3))</x:f>
      </x:c>
      <x:c r="P57" s="215"/>
      <x:c r="Q57" s="222" t="str">
        <x:f>IF($E57="","",IF(OR(RIGHT(UPPER(TRIM(SUBSTITUTE(CLEAN($E57),CHAR(160)," "))),2)="P1",RIGHT(UPPER(TRIM(SUBSTITUTE(CLEAN($E57),CHAR(160)," "))),2)="P2",RIGHT(UPPER(TRIM(SUBSTITUTE(CLEAN($E57),CHAR(160)," "))),2)="P3",RIGHT(UPPER(TRIM(SUBSTITUTE(CLEAN($E57),CHAR(160)," "))),2)="P4",ISNUMBER(SEARCH("INDUSTRIAL HYGIENIST 1 ENVIRONMENT",UPPER(TRIM(SUBSTITUTE(CLEAN($E57),CHAR(160)," ")))))),"PS","GS"))</x:f>
      </x:c>
      <x:c r="R57" s="223" t="str">
        <x:f>IF($Q57="","",IF($Q57="PS",'Data'!$O$5,'Data'!$O$4))</x:f>
      </x:c>
      <x:c r="S57" s="224" t="str">
        <x:f>IF($E57="","",IFERROR(VLOOKUP($E57,'Data'!$A$2:$B$114,2,FALSE),""))</x:f>
      </x:c>
      <x:c r="T57" s="217" t="str">
        <x:f>IF($K57="","",VLOOKUP($K57,'Data'!$I$2:$L$6,2,TRUE))</x:f>
      </x:c>
      <x:c r="U57" s="217" t="str">
        <x:v>Pharmaceutical Specialist - I - Engineering (P &amp; O  Support / Professional) - P1</x:v>
      </x:c>
      <x:c r="V57" s="221" t="str">
        <x:f>IF($L57="","",$J57*$L57)</x:f>
      </x:c>
      <x:c r="W57" s="221" t="str">
        <x:f>IF($V57="","",$J57+$V57)</x:f>
      </x:c>
      <x:c r="X57" s="217" t="str">
        <x:f>IF($Y57="Ready","Review and inform supplier","")</x:f>
      </x:c>
      <x:c r="Y57" s="217" t="str">
        <x:f>IF(AND($B57="",$E57="",$I57=""),"",IF($B57="","Missing Assignment Number",IF($E57="","Select Job Title",IF($I57="","Enter Pay Rate",IF($S57="","Job Title not found","Ready")))))</x:f>
      </x:c>
    </x:row>
    <x:row r="58" ht="22" customHeight="1">
      <x:c r="A58" s="205"/>
      <x:c r="B58" s="205"/>
      <x:c r="C58" s="206"/>
      <x:c r="D58" s="205"/>
      <x:c r="E58" s="207"/>
      <x:c r="F58" s="208"/>
      <x:c r="G58" s="209" t="str">
        <x:f>IF($S58="","",IFERROR(VLOOKUP($S58,'Data'!$D$2:$G$14,3,FALSE),""))</x:f>
      </x:c>
      <x:c r="H58" s="210" t="str">
        <x:f>IF($G58="","",$G58/'Data'!$O$2/'Data'!$O$3)</x:f>
      </x:c>
      <x:c r="I58" s="211"/>
      <x:c r="J58" s="209" t="str">
        <x:f>IF(OR($E58="",$I58=""),"",$I58*'Data'!$O$2*'Data'!$O$3)</x:f>
      </x:c>
      <x:c r="K58" s="212" t="str">
        <x:f>IF(OR($J58="",$G58=""),"",$J58/$G58)</x:f>
      </x:c>
      <x:c r="L58" s="213" t="str">
        <x:f>IF($K58="","",VLOOKUP($K58,'Data'!$I$2:$L$6,3,TRUE))</x:f>
      </x:c>
      <x:c r="M58" s="210" t="str">
        <x:f>IF($L58="","",$I58*$L58)</x:f>
      </x:c>
      <x:c r="N58" s="214" t="str">
        <x:f>IF($M58="","",ROUNDDOWN($I58+$M58,2))</x:f>
      </x:c>
      <x:c r="O58" s="210" t="str">
        <x:f>IF($N58="","",ROUNDDOWN(ROUNDDOWN($N58,2)*$R58,3))</x:f>
      </x:c>
      <x:c r="P58" s="215"/>
      <x:c r="Q58" s="222" t="str">
        <x:f>IF($E58="","",IF(OR(RIGHT(UPPER(TRIM(SUBSTITUTE(CLEAN($E58),CHAR(160)," "))),2)="P1",RIGHT(UPPER(TRIM(SUBSTITUTE(CLEAN($E58),CHAR(160)," "))),2)="P2",RIGHT(UPPER(TRIM(SUBSTITUTE(CLEAN($E58),CHAR(160)," "))),2)="P3",RIGHT(UPPER(TRIM(SUBSTITUTE(CLEAN($E58),CHAR(160)," "))),2)="P4",ISNUMBER(SEARCH("INDUSTRIAL HYGIENIST 1 ENVIRONMENT",UPPER(TRIM(SUBSTITUTE(CLEAN($E58),CHAR(160)," ")))))),"PS","GS"))</x:f>
      </x:c>
      <x:c r="R58" s="223" t="str">
        <x:f>IF($Q58="","",IF($Q58="PS",'Data'!$O$5,'Data'!$O$4))</x:f>
      </x:c>
      <x:c r="S58" s="224" t="str">
        <x:f>IF($E58="","",IFERROR(VLOOKUP($E58,'Data'!$A$2:$B$114,2,FALSE),""))</x:f>
      </x:c>
      <x:c r="T58" s="217" t="str">
        <x:f>IF($K58="","",VLOOKUP($K58,'Data'!$I$2:$L$6,2,TRUE))</x:f>
      </x:c>
      <x:c r="U58" s="217" t="str">
        <x:v>Pharmaceutical Specialist - Ill - Engineering (P &amp; O  Support / Professional) - P3</x:v>
      </x:c>
      <x:c r="V58" s="221" t="str">
        <x:f>IF($L58="","",$J58*$L58)</x:f>
      </x:c>
      <x:c r="W58" s="221" t="str">
        <x:f>IF($V58="","",$J58+$V58)</x:f>
      </x:c>
      <x:c r="X58" s="217" t="str">
        <x:f>IF($Y58="Ready","Review and inform supplier","")</x:f>
      </x:c>
      <x:c r="Y58" s="217" t="str">
        <x:f>IF(AND($B58="",$E58="",$I58=""),"",IF($B58="","Missing Assignment Number",IF($E58="","Select Job Title",IF($I58="","Enter Pay Rate",IF($S58="","Job Title not found","Ready")))))</x:f>
      </x:c>
    </x:row>
    <x:row r="59" ht="22" customHeight="1">
      <x:c r="A59" s="205"/>
      <x:c r="B59" s="205"/>
      <x:c r="C59" s="206"/>
      <x:c r="D59" s="205"/>
      <x:c r="E59" s="207"/>
      <x:c r="F59" s="208"/>
      <x:c r="G59" s="209" t="str">
        <x:f>IF($S59="","",IFERROR(VLOOKUP($S59,'Data'!$D$2:$G$14,3,FALSE),""))</x:f>
      </x:c>
      <x:c r="H59" s="210" t="str">
        <x:f>IF($G59="","",$G59/'Data'!$O$2/'Data'!$O$3)</x:f>
      </x:c>
      <x:c r="I59" s="211"/>
      <x:c r="J59" s="209" t="str">
        <x:f>IF(OR($E59="",$I59=""),"",$I59*'Data'!$O$2*'Data'!$O$3)</x:f>
      </x:c>
      <x:c r="K59" s="212" t="str">
        <x:f>IF(OR($J59="",$G59=""),"",$J59/$G59)</x:f>
      </x:c>
      <x:c r="L59" s="213" t="str">
        <x:f>IF($K59="","",VLOOKUP($K59,'Data'!$I$2:$L$6,3,TRUE))</x:f>
      </x:c>
      <x:c r="M59" s="210" t="str">
        <x:f>IF($L59="","",$I59*$L59)</x:f>
      </x:c>
      <x:c r="N59" s="214" t="str">
        <x:f>IF($M59="","",ROUNDDOWN($I59+$M59,2))</x:f>
      </x:c>
      <x:c r="O59" s="210" t="str">
        <x:f>IF($N59="","",ROUNDDOWN(ROUNDDOWN($N59,2)*$R59,3))</x:f>
      </x:c>
      <x:c r="P59" s="215"/>
      <x:c r="Q59" s="222" t="str">
        <x:f>IF($E59="","",IF(OR(RIGHT(UPPER(TRIM(SUBSTITUTE(CLEAN($E59),CHAR(160)," "))),2)="P1",RIGHT(UPPER(TRIM(SUBSTITUTE(CLEAN($E59),CHAR(160)," "))),2)="P2",RIGHT(UPPER(TRIM(SUBSTITUTE(CLEAN($E59),CHAR(160)," "))),2)="P3",RIGHT(UPPER(TRIM(SUBSTITUTE(CLEAN($E59),CHAR(160)," "))),2)="P4",ISNUMBER(SEARCH("INDUSTRIAL HYGIENIST 1 ENVIRONMENT",UPPER(TRIM(SUBSTITUTE(CLEAN($E59),CHAR(160)," ")))))),"PS","GS"))</x:f>
      </x:c>
      <x:c r="R59" s="223" t="str">
        <x:f>IF($Q59="","",IF($Q59="PS",'Data'!$O$5,'Data'!$O$4))</x:f>
      </x:c>
      <x:c r="S59" s="224" t="str">
        <x:f>IF($E59="","",IFERROR(VLOOKUP($E59,'Data'!$A$2:$B$114,2,FALSE),""))</x:f>
      </x:c>
      <x:c r="T59" s="217" t="str">
        <x:f>IF($K59="","",VLOOKUP($K59,'Data'!$I$2:$L$6,2,TRUE))</x:f>
      </x:c>
      <x:c r="U59" s="217" t="str">
        <x:v>Process Engineer - II - Engineering (P &amp; O Support / Professional) - P2</x:v>
      </x:c>
      <x:c r="V59" s="221" t="str">
        <x:f>IF($L59="","",$J59*$L59)</x:f>
      </x:c>
      <x:c r="W59" s="221" t="str">
        <x:f>IF($V59="","",$J59+$V59)</x:f>
      </x:c>
      <x:c r="X59" s="217" t="str">
        <x:f>IF($Y59="Ready","Review and inform supplier","")</x:f>
      </x:c>
      <x:c r="Y59" s="217" t="str">
        <x:f>IF(AND($B59="",$E59="",$I59=""),"",IF($B59="","Missing Assignment Number",IF($E59="","Select Job Title",IF($I59="","Enter Pay Rate",IF($S59="","Job Title not found","Ready")))))</x:f>
      </x:c>
    </x:row>
    <x:row r="60" ht="22" customHeight="1">
      <x:c r="A60" s="205"/>
      <x:c r="B60" s="205"/>
      <x:c r="C60" s="206"/>
      <x:c r="D60" s="205"/>
      <x:c r="E60" s="207"/>
      <x:c r="F60" s="208"/>
      <x:c r="G60" s="209" t="str">
        <x:f>IF($S60="","",IFERROR(VLOOKUP($S60,'Data'!$D$2:$G$14,3,FALSE),""))</x:f>
      </x:c>
      <x:c r="H60" s="210" t="str">
        <x:f>IF($G60="","",$G60/'Data'!$O$2/'Data'!$O$3)</x:f>
      </x:c>
      <x:c r="I60" s="211"/>
      <x:c r="J60" s="209" t="str">
        <x:f>IF(OR($E60="",$I60=""),"",$I60*'Data'!$O$2*'Data'!$O$3)</x:f>
      </x:c>
      <x:c r="K60" s="212" t="str">
        <x:f>IF(OR($J60="",$G60=""),"",$J60/$G60)</x:f>
      </x:c>
      <x:c r="L60" s="213" t="str">
        <x:f>IF($K60="","",VLOOKUP($K60,'Data'!$I$2:$L$6,3,TRUE))</x:f>
      </x:c>
      <x:c r="M60" s="210" t="str">
        <x:f>IF($L60="","",$I60*$L60)</x:f>
      </x:c>
      <x:c r="N60" s="214" t="str">
        <x:f>IF($M60="","",ROUNDDOWN($I60+$M60,2))</x:f>
      </x:c>
      <x:c r="O60" s="210" t="str">
        <x:f>IF($N60="","",ROUNDDOWN(ROUNDDOWN($N60,2)*$R60,3))</x:f>
      </x:c>
      <x:c r="P60" s="215"/>
      <x:c r="Q60" s="222" t="str">
        <x:f>IF($E60="","",IF(OR(RIGHT(UPPER(TRIM(SUBSTITUTE(CLEAN($E60),CHAR(160)," "))),2)="P1",RIGHT(UPPER(TRIM(SUBSTITUTE(CLEAN($E60),CHAR(160)," "))),2)="P2",RIGHT(UPPER(TRIM(SUBSTITUTE(CLEAN($E60),CHAR(160)," "))),2)="P3",RIGHT(UPPER(TRIM(SUBSTITUTE(CLEAN($E60),CHAR(160)," "))),2)="P4",ISNUMBER(SEARCH("INDUSTRIAL HYGIENIST 1 ENVIRONMENT",UPPER(TRIM(SUBSTITUTE(CLEAN($E60),CHAR(160)," ")))))),"PS","GS"))</x:f>
      </x:c>
      <x:c r="R60" s="223" t="str">
        <x:f>IF($Q60="","",IF($Q60="PS",'Data'!$O$5,'Data'!$O$4))</x:f>
      </x:c>
      <x:c r="S60" s="224" t="str">
        <x:f>IF($E60="","",IFERROR(VLOOKUP($E60,'Data'!$A$2:$B$114,2,FALSE),""))</x:f>
      </x:c>
      <x:c r="T60" s="217" t="str">
        <x:f>IF($K60="","",VLOOKUP($K60,'Data'!$I$2:$L$6,2,TRUE))</x:f>
      </x:c>
      <x:c r="U60" s="217" t="str">
        <x:v>Process Engineer - III - Engineering (P &amp; O Support / Professional) - P3</x:v>
      </x:c>
      <x:c r="V60" s="221" t="str">
        <x:f>IF($L60="","",$J60*$L60)</x:f>
      </x:c>
      <x:c r="W60" s="221" t="str">
        <x:f>IF($V60="","",$J60+$V60)</x:f>
      </x:c>
      <x:c r="X60" s="217" t="str">
        <x:f>IF($Y60="Ready","Review and inform supplier","")</x:f>
      </x:c>
      <x:c r="Y60" s="217" t="str">
        <x:f>IF(AND($B60="",$E60="",$I60=""),"",IF($B60="","Missing Assignment Number",IF($E60="","Select Job Title",IF($I60="","Enter Pay Rate",IF($S60="","Job Title not found","Ready")))))</x:f>
      </x:c>
    </x:row>
    <x:row r="61" ht="22" customHeight="1">
      <x:c r="A61" s="205"/>
      <x:c r="B61" s="205"/>
      <x:c r="C61" s="206"/>
      <x:c r="D61" s="205"/>
      <x:c r="E61" s="207"/>
      <x:c r="F61" s="208"/>
      <x:c r="G61" s="209" t="str">
        <x:f>IF($S61="","",IFERROR(VLOOKUP($S61,'Data'!$D$2:$G$14,3,FALSE),""))</x:f>
      </x:c>
      <x:c r="H61" s="210" t="str">
        <x:f>IF($G61="","",$G61/'Data'!$O$2/'Data'!$O$3)</x:f>
      </x:c>
      <x:c r="I61" s="211"/>
      <x:c r="J61" s="209" t="str">
        <x:f>IF(OR($E61="",$I61=""),"",$I61*'Data'!$O$2*'Data'!$O$3)</x:f>
      </x:c>
      <x:c r="K61" s="212" t="str">
        <x:f>IF(OR($J61="",$G61=""),"",$J61/$G61)</x:f>
      </x:c>
      <x:c r="L61" s="213" t="str">
        <x:f>IF($K61="","",VLOOKUP($K61,'Data'!$I$2:$L$6,3,TRUE))</x:f>
      </x:c>
      <x:c r="M61" s="210" t="str">
        <x:f>IF($L61="","",$I61*$L61)</x:f>
      </x:c>
      <x:c r="N61" s="214" t="str">
        <x:f>IF($M61="","",ROUNDDOWN($I61+$M61,2))</x:f>
      </x:c>
      <x:c r="O61" s="210" t="str">
        <x:f>IF($N61="","",ROUNDDOWN(ROUNDDOWN($N61,2)*$R61,3))</x:f>
      </x:c>
      <x:c r="P61" s="215"/>
      <x:c r="Q61" s="222" t="str">
        <x:f>IF($E61="","",IF(OR(RIGHT(UPPER(TRIM(SUBSTITUTE(CLEAN($E61),CHAR(160)," "))),2)="P1",RIGHT(UPPER(TRIM(SUBSTITUTE(CLEAN($E61),CHAR(160)," "))),2)="P2",RIGHT(UPPER(TRIM(SUBSTITUTE(CLEAN($E61),CHAR(160)," "))),2)="P3",RIGHT(UPPER(TRIM(SUBSTITUTE(CLEAN($E61),CHAR(160)," "))),2)="P4",ISNUMBER(SEARCH("INDUSTRIAL HYGIENIST 1 ENVIRONMENT",UPPER(TRIM(SUBSTITUTE(CLEAN($E61),CHAR(160)," ")))))),"PS","GS"))</x:f>
      </x:c>
      <x:c r="R61" s="223" t="str">
        <x:f>IF($Q61="","",IF($Q61="PS",'Data'!$O$5,'Data'!$O$4))</x:f>
      </x:c>
      <x:c r="S61" s="224" t="str">
        <x:f>IF($E61="","",IFERROR(VLOOKUP($E61,'Data'!$A$2:$B$114,2,FALSE),""))</x:f>
      </x:c>
      <x:c r="T61" s="217" t="str">
        <x:f>IF($K61="","",VLOOKUP($K61,'Data'!$I$2:$L$6,2,TRUE))</x:f>
      </x:c>
      <x:c r="U61" s="217" t="str">
        <x:v>Process Engineer - IV - Engineering (P &amp; O Support / Professional) - P4</x:v>
      </x:c>
      <x:c r="V61" s="221" t="str">
        <x:f>IF($L61="","",$J61*$L61)</x:f>
      </x:c>
      <x:c r="W61" s="221" t="str">
        <x:f>IF($V61="","",$J61+$V61)</x:f>
      </x:c>
      <x:c r="X61" s="217" t="str">
        <x:f>IF($Y61="Ready","Review and inform supplier","")</x:f>
      </x:c>
      <x:c r="Y61" s="217" t="str">
        <x:f>IF(AND($B61="",$E61="",$I61=""),"",IF($B61="","Missing Assignment Number",IF($E61="","Select Job Title",IF($I61="","Enter Pay Rate",IF($S61="","Job Title not found","Ready")))))</x:f>
      </x:c>
    </x:row>
    <x:row r="62" ht="22" customHeight="1">
      <x:c r="A62" s="205"/>
      <x:c r="B62" s="205"/>
      <x:c r="C62" s="206"/>
      <x:c r="D62" s="205"/>
      <x:c r="E62" s="207"/>
      <x:c r="F62" s="208"/>
      <x:c r="G62" s="209" t="str">
        <x:f>IF($S62="","",IFERROR(VLOOKUP($S62,'Data'!$D$2:$G$14,3,FALSE),""))</x:f>
      </x:c>
      <x:c r="H62" s="210" t="str">
        <x:f>IF($G62="","",$G62/'Data'!$O$2/'Data'!$O$3)</x:f>
      </x:c>
      <x:c r="I62" s="211"/>
      <x:c r="J62" s="209" t="str">
        <x:f>IF(OR($E62="",$I62=""),"",$I62*'Data'!$O$2*'Data'!$O$3)</x:f>
      </x:c>
      <x:c r="K62" s="212" t="str">
        <x:f>IF(OR($J62="",$G62=""),"",$J62/$G62)</x:f>
      </x:c>
      <x:c r="L62" s="213" t="str">
        <x:f>IF($K62="","",VLOOKUP($K62,'Data'!$I$2:$L$6,3,TRUE))</x:f>
      </x:c>
      <x:c r="M62" s="210" t="str">
        <x:f>IF($L62="","",$I62*$L62)</x:f>
      </x:c>
      <x:c r="N62" s="214" t="str">
        <x:f>IF($M62="","",ROUNDDOWN($I62+$M62,2))</x:f>
      </x:c>
      <x:c r="O62" s="210" t="str">
        <x:f>IF($N62="","",ROUNDDOWN(ROUNDDOWN($N62,2)*$R62,3))</x:f>
      </x:c>
      <x:c r="P62" s="215"/>
      <x:c r="Q62" s="222" t="str">
        <x:f>IF($E62="","",IF(OR(RIGHT(UPPER(TRIM(SUBSTITUTE(CLEAN($E62),CHAR(160)," "))),2)="P1",RIGHT(UPPER(TRIM(SUBSTITUTE(CLEAN($E62),CHAR(160)," "))),2)="P2",RIGHT(UPPER(TRIM(SUBSTITUTE(CLEAN($E62),CHAR(160)," "))),2)="P3",RIGHT(UPPER(TRIM(SUBSTITUTE(CLEAN($E62),CHAR(160)," "))),2)="P4",ISNUMBER(SEARCH("INDUSTRIAL HYGIENIST 1 ENVIRONMENT",UPPER(TRIM(SUBSTITUTE(CLEAN($E62),CHAR(160)," ")))))),"PS","GS"))</x:f>
      </x:c>
      <x:c r="R62" s="223" t="str">
        <x:f>IF($Q62="","",IF($Q62="PS",'Data'!$O$5,'Data'!$O$4))</x:f>
      </x:c>
      <x:c r="S62" s="224" t="str">
        <x:f>IF($E62="","",IFERROR(VLOOKUP($E62,'Data'!$A$2:$B$114,2,FALSE),""))</x:f>
      </x:c>
      <x:c r="T62" s="217" t="str">
        <x:f>IF($K62="","",VLOOKUP($K62,'Data'!$I$2:$L$6,2,TRUE))</x:f>
      </x:c>
      <x:c r="U62" s="217" t="str">
        <x:v>Procurement Specialist - llI - Administrative (B Support /  Professional) - P3</x:v>
      </x:c>
      <x:c r="V62" s="221" t="str">
        <x:f>IF($L62="","",$J62*$L62)</x:f>
      </x:c>
      <x:c r="W62" s="221" t="str">
        <x:f>IF($V62="","",$J62+$V62)</x:f>
      </x:c>
      <x:c r="X62" s="217" t="str">
        <x:f>IF($Y62="Ready","Review and inform supplier","")</x:f>
      </x:c>
      <x:c r="Y62" s="217" t="str">
        <x:f>IF(AND($B62="",$E62="",$I62=""),"",IF($B62="","Missing Assignment Number",IF($E62="","Select Job Title",IF($I62="","Enter Pay Rate",IF($S62="","Job Title not found","Ready")))))</x:f>
      </x:c>
    </x:row>
    <x:row r="63" ht="22" customHeight="1">
      <x:c r="A63" s="205"/>
      <x:c r="B63" s="205"/>
      <x:c r="C63" s="206"/>
      <x:c r="D63" s="205"/>
      <x:c r="E63" s="207"/>
      <x:c r="F63" s="208"/>
      <x:c r="G63" s="209" t="str">
        <x:f>IF($S63="","",IFERROR(VLOOKUP($S63,'Data'!$D$2:$G$14,3,FALSE),""))</x:f>
      </x:c>
      <x:c r="H63" s="210" t="str">
        <x:f>IF($G63="","",$G63/'Data'!$O$2/'Data'!$O$3)</x:f>
      </x:c>
      <x:c r="I63" s="211"/>
      <x:c r="J63" s="209" t="str">
        <x:f>IF(OR($E63="",$I63=""),"",$I63*'Data'!$O$2*'Data'!$O$3)</x:f>
      </x:c>
      <x:c r="K63" s="212" t="str">
        <x:f>IF(OR($J63="",$G63=""),"",$J63/$G63)</x:f>
      </x:c>
      <x:c r="L63" s="213" t="str">
        <x:f>IF($K63="","",VLOOKUP($K63,'Data'!$I$2:$L$6,3,TRUE))</x:f>
      </x:c>
      <x:c r="M63" s="210" t="str">
        <x:f>IF($L63="","",$I63*$L63)</x:f>
      </x:c>
      <x:c r="N63" s="214" t="str">
        <x:f>IF($M63="","",ROUNDDOWN($I63+$M63,2))</x:f>
      </x:c>
      <x:c r="O63" s="210" t="str">
        <x:f>IF($N63="","",ROUNDDOWN(ROUNDDOWN($N63,2)*$R63,3))</x:f>
      </x:c>
      <x:c r="P63" s="215"/>
      <x:c r="Q63" s="222" t="str">
        <x:f>IF($E63="","",IF(OR(RIGHT(UPPER(TRIM(SUBSTITUTE(CLEAN($E63),CHAR(160)," "))),2)="P1",RIGHT(UPPER(TRIM(SUBSTITUTE(CLEAN($E63),CHAR(160)," "))),2)="P2",RIGHT(UPPER(TRIM(SUBSTITUTE(CLEAN($E63),CHAR(160)," "))),2)="P3",RIGHT(UPPER(TRIM(SUBSTITUTE(CLEAN($E63),CHAR(160)," "))),2)="P4",ISNUMBER(SEARCH("INDUSTRIAL HYGIENIST 1 ENVIRONMENT",UPPER(TRIM(SUBSTITUTE(CLEAN($E63),CHAR(160)," ")))))),"PS","GS"))</x:f>
      </x:c>
      <x:c r="R63" s="223" t="str">
        <x:f>IF($Q63="","",IF($Q63="PS",'Data'!$O$5,'Data'!$O$4))</x:f>
      </x:c>
      <x:c r="S63" s="224" t="str">
        <x:f>IF($E63="","",IFERROR(VLOOKUP($E63,'Data'!$A$2:$B$114,2,FALSE),""))</x:f>
      </x:c>
      <x:c r="T63" s="217" t="str">
        <x:f>IF($K63="","",VLOOKUP($K63,'Data'!$I$2:$L$6,2,TRUE))</x:f>
      </x:c>
      <x:c r="U63" s="217" t="str">
        <x:v>Production Operator - II - Production &amp; Operations Support (T): Industrial - O2 (High)</x:v>
      </x:c>
      <x:c r="V63" s="221" t="str">
        <x:f>IF($L63="","",$J63*$L63)</x:f>
      </x:c>
      <x:c r="W63" s="221" t="str">
        <x:f>IF($V63="","",$J63+$V63)</x:f>
      </x:c>
      <x:c r="X63" s="217" t="str">
        <x:f>IF($Y63="Ready","Review and inform supplier","")</x:f>
      </x:c>
      <x:c r="Y63" s="217" t="str">
        <x:f>IF(AND($B63="",$E63="",$I63=""),"",IF($B63="","Missing Assignment Number",IF($E63="","Select Job Title",IF($I63="","Enter Pay Rate",IF($S63="","Job Title not found","Ready")))))</x:f>
      </x:c>
    </x:row>
    <x:row r="64" ht="22" customHeight="1">
      <x:c r="A64" s="205"/>
      <x:c r="B64" s="205"/>
      <x:c r="C64" s="206"/>
      <x:c r="D64" s="205"/>
      <x:c r="E64" s="207"/>
      <x:c r="F64" s="208"/>
      <x:c r="G64" s="209" t="str">
        <x:f>IF($S64="","",IFERROR(VLOOKUP($S64,'Data'!$D$2:$G$14,3,FALSE),""))</x:f>
      </x:c>
      <x:c r="H64" s="210" t="str">
        <x:f>IF($G64="","",$G64/'Data'!$O$2/'Data'!$O$3)</x:f>
      </x:c>
      <x:c r="I64" s="211"/>
      <x:c r="J64" s="209" t="str">
        <x:f>IF(OR($E64="",$I64=""),"",$I64*'Data'!$O$2*'Data'!$O$3)</x:f>
      </x:c>
      <x:c r="K64" s="212" t="str">
        <x:f>IF(OR($J64="",$G64=""),"",$J64/$G64)</x:f>
      </x:c>
      <x:c r="L64" s="213" t="str">
        <x:f>IF($K64="","",VLOOKUP($K64,'Data'!$I$2:$L$6,3,TRUE))</x:f>
      </x:c>
      <x:c r="M64" s="210" t="str">
        <x:f>IF($L64="","",$I64*$L64)</x:f>
      </x:c>
      <x:c r="N64" s="214" t="str">
        <x:f>IF($M64="","",ROUNDDOWN($I64+$M64,2))</x:f>
      </x:c>
      <x:c r="O64" s="210" t="str">
        <x:f>IF($N64="","",ROUNDDOWN(ROUNDDOWN($N64,2)*$R64,3))</x:f>
      </x:c>
      <x:c r="P64" s="215"/>
      <x:c r="Q64" s="222" t="str">
        <x:f>IF($E64="","",IF(OR(RIGHT(UPPER(TRIM(SUBSTITUTE(CLEAN($E64),CHAR(160)," "))),2)="P1",RIGHT(UPPER(TRIM(SUBSTITUTE(CLEAN($E64),CHAR(160)," "))),2)="P2",RIGHT(UPPER(TRIM(SUBSTITUTE(CLEAN($E64),CHAR(160)," "))),2)="P3",RIGHT(UPPER(TRIM(SUBSTITUTE(CLEAN($E64),CHAR(160)," "))),2)="P4",ISNUMBER(SEARCH("INDUSTRIAL HYGIENIST 1 ENVIRONMENT",UPPER(TRIM(SUBSTITUTE(CLEAN($E64),CHAR(160)," ")))))),"PS","GS"))</x:f>
      </x:c>
      <x:c r="R64" s="223" t="str">
        <x:f>IF($Q64="","",IF($Q64="PS",'Data'!$O$5,'Data'!$O$4))</x:f>
      </x:c>
      <x:c r="S64" s="224" t="str">
        <x:f>IF($E64="","",IFERROR(VLOOKUP($E64,'Data'!$A$2:$B$114,2,FALSE),""))</x:f>
      </x:c>
      <x:c r="T64" s="217" t="str">
        <x:f>IF($K64="","",VLOOKUP($K64,'Data'!$I$2:$L$6,2,TRUE))</x:f>
      </x:c>
      <x:c r="U64" s="217" t="str">
        <x:v>Production Operator - II - Production &amp; Operations Support (T): Industrial - O2 (Mid)</x:v>
      </x:c>
      <x:c r="V64" s="221" t="str">
        <x:f>IF($L64="","",$J64*$L64)</x:f>
      </x:c>
      <x:c r="W64" s="221" t="str">
        <x:f>IF($V64="","",$J64+$V64)</x:f>
      </x:c>
      <x:c r="X64" s="217" t="str">
        <x:f>IF($Y64="Ready","Review and inform supplier","")</x:f>
      </x:c>
      <x:c r="Y64" s="217" t="str">
        <x:f>IF(AND($B64="",$E64="",$I64=""),"",IF($B64="","Missing Assignment Number",IF($E64="","Select Job Title",IF($I64="","Enter Pay Rate",IF($S64="","Job Title not found","Ready")))))</x:f>
      </x:c>
    </x:row>
    <x:row r="65" ht="22" customHeight="1">
      <x:c r="A65" s="205"/>
      <x:c r="B65" s="205"/>
      <x:c r="C65" s="206"/>
      <x:c r="D65" s="205"/>
      <x:c r="E65" s="207"/>
      <x:c r="F65" s="208"/>
      <x:c r="G65" s="209" t="str">
        <x:f>IF($S65="","",IFERROR(VLOOKUP($S65,'Data'!$D$2:$G$14,3,FALSE),""))</x:f>
      </x:c>
      <x:c r="H65" s="210" t="str">
        <x:f>IF($G65="","",$G65/'Data'!$O$2/'Data'!$O$3)</x:f>
      </x:c>
      <x:c r="I65" s="211"/>
      <x:c r="J65" s="209" t="str">
        <x:f>IF(OR($E65="",$I65=""),"",$I65*'Data'!$O$2*'Data'!$O$3)</x:f>
      </x:c>
      <x:c r="K65" s="212" t="str">
        <x:f>IF(OR($J65="",$G65=""),"",$J65/$G65)</x:f>
      </x:c>
      <x:c r="L65" s="213" t="str">
        <x:f>IF($K65="","",VLOOKUP($K65,'Data'!$I$2:$L$6,3,TRUE))</x:f>
      </x:c>
      <x:c r="M65" s="210" t="str">
        <x:f>IF($L65="","",$I65*$L65)</x:f>
      </x:c>
      <x:c r="N65" s="214" t="str">
        <x:f>IF($M65="","",ROUNDDOWN($I65+$M65,2))</x:f>
      </x:c>
      <x:c r="O65" s="210" t="str">
        <x:f>IF($N65="","",ROUNDDOWN(ROUNDDOWN($N65,2)*$R65,3))</x:f>
      </x:c>
      <x:c r="P65" s="215"/>
      <x:c r="Q65" s="222" t="str">
        <x:f>IF($E65="","",IF(OR(RIGHT(UPPER(TRIM(SUBSTITUTE(CLEAN($E65),CHAR(160)," "))),2)="P1",RIGHT(UPPER(TRIM(SUBSTITUTE(CLEAN($E65),CHAR(160)," "))),2)="P2",RIGHT(UPPER(TRIM(SUBSTITUTE(CLEAN($E65),CHAR(160)," "))),2)="P3",RIGHT(UPPER(TRIM(SUBSTITUTE(CLEAN($E65),CHAR(160)," "))),2)="P4",ISNUMBER(SEARCH("INDUSTRIAL HYGIENIST 1 ENVIRONMENT",UPPER(TRIM(SUBSTITUTE(CLEAN($E65),CHAR(160)," ")))))),"PS","GS"))</x:f>
      </x:c>
      <x:c r="R65" s="223" t="str">
        <x:f>IF($Q65="","",IF($Q65="PS",'Data'!$O$5,'Data'!$O$4))</x:f>
      </x:c>
      <x:c r="S65" s="224" t="str">
        <x:f>IF($E65="","",IFERROR(VLOOKUP($E65,'Data'!$A$2:$B$114,2,FALSE),""))</x:f>
      </x:c>
      <x:c r="T65" s="217" t="str">
        <x:f>IF($K65="","",VLOOKUP($K65,'Data'!$I$2:$L$6,2,TRUE))</x:f>
      </x:c>
      <x:c r="U65" s="217" t="str">
        <x:v>Production Tech - II - Production &amp; Operations Support (T): Industrial - O2 (High)</x:v>
      </x:c>
      <x:c r="V65" s="221" t="str">
        <x:f>IF($L65="","",$J65*$L65)</x:f>
      </x:c>
      <x:c r="W65" s="221" t="str">
        <x:f>IF($V65="","",$J65+$V65)</x:f>
      </x:c>
      <x:c r="X65" s="217" t="str">
        <x:f>IF($Y65="Ready","Review and inform supplier","")</x:f>
      </x:c>
      <x:c r="Y65" s="217" t="str">
        <x:f>IF(AND($B65="",$E65="",$I65=""),"",IF($B65="","Missing Assignment Number",IF($E65="","Select Job Title",IF($I65="","Enter Pay Rate",IF($S65="","Job Title not found","Ready")))))</x:f>
      </x:c>
    </x:row>
    <x:row r="66" ht="22" customHeight="1">
      <x:c r="A66" s="205"/>
      <x:c r="B66" s="205"/>
      <x:c r="C66" s="206"/>
      <x:c r="D66" s="205"/>
      <x:c r="E66" s="207"/>
      <x:c r="F66" s="208"/>
      <x:c r="G66" s="209" t="str">
        <x:f>IF($S66="","",IFERROR(VLOOKUP($S66,'Data'!$D$2:$G$14,3,FALSE),""))</x:f>
      </x:c>
      <x:c r="H66" s="210" t="str">
        <x:f>IF($G66="","",$G66/'Data'!$O$2/'Data'!$O$3)</x:f>
      </x:c>
      <x:c r="I66" s="211"/>
      <x:c r="J66" s="209" t="str">
        <x:f>IF(OR($E66="",$I66=""),"",$I66*'Data'!$O$2*'Data'!$O$3)</x:f>
      </x:c>
      <x:c r="K66" s="212" t="str">
        <x:f>IF(OR($J66="",$G66=""),"",$J66/$G66)</x:f>
      </x:c>
      <x:c r="L66" s="213" t="str">
        <x:f>IF($K66="","",VLOOKUP($K66,'Data'!$I$2:$L$6,3,TRUE))</x:f>
      </x:c>
      <x:c r="M66" s="210" t="str">
        <x:f>IF($L66="","",$I66*$L66)</x:f>
      </x:c>
      <x:c r="N66" s="214" t="str">
        <x:f>IF($M66="","",ROUNDDOWN($I66+$M66,2))</x:f>
      </x:c>
      <x:c r="O66" s="210" t="str">
        <x:f>IF($N66="","",ROUNDDOWN(ROUNDDOWN($N66,2)*$R66,3))</x:f>
      </x:c>
      <x:c r="P66" s="215"/>
      <x:c r="Q66" s="222" t="str">
        <x:f>IF($E66="","",IF(OR(RIGHT(UPPER(TRIM(SUBSTITUTE(CLEAN($E66),CHAR(160)," "))),2)="P1",RIGHT(UPPER(TRIM(SUBSTITUTE(CLEAN($E66),CHAR(160)," "))),2)="P2",RIGHT(UPPER(TRIM(SUBSTITUTE(CLEAN($E66),CHAR(160)," "))),2)="P3",RIGHT(UPPER(TRIM(SUBSTITUTE(CLEAN($E66),CHAR(160)," "))),2)="P4",ISNUMBER(SEARCH("INDUSTRIAL HYGIENIST 1 ENVIRONMENT",UPPER(TRIM(SUBSTITUTE(CLEAN($E66),CHAR(160)," ")))))),"PS","GS"))</x:f>
      </x:c>
      <x:c r="R66" s="223" t="str">
        <x:f>IF($Q66="","",IF($Q66="PS",'Data'!$O$5,'Data'!$O$4))</x:f>
      </x:c>
      <x:c r="S66" s="224" t="str">
        <x:f>IF($E66="","",IFERROR(VLOOKUP($E66,'Data'!$A$2:$B$114,2,FALSE),""))</x:f>
      </x:c>
      <x:c r="T66" s="217" t="str">
        <x:f>IF($K66="","",VLOOKUP($K66,'Data'!$I$2:$L$6,2,TRUE))</x:f>
      </x:c>
      <x:c r="U66" s="217" t="str">
        <x:v>Production Tech - II - Production &amp; Operations Support (T): Industrial - O2 (Mid)</x:v>
      </x:c>
      <x:c r="V66" s="221" t="str">
        <x:f>IF($L66="","",$J66*$L66)</x:f>
      </x:c>
      <x:c r="W66" s="221" t="str">
        <x:f>IF($V66="","",$J66+$V66)</x:f>
      </x:c>
      <x:c r="X66" s="217" t="str">
        <x:f>IF($Y66="Ready","Review and inform supplier","")</x:f>
      </x:c>
      <x:c r="Y66" s="217" t="str">
        <x:f>IF(AND($B66="",$E66="",$I66=""),"",IF($B66="","Missing Assignment Number",IF($E66="","Select Job Title",IF($I66="","Enter Pay Rate",IF($S66="","Job Title not found","Ready")))))</x:f>
      </x:c>
    </x:row>
    <x:row r="67" ht="22" customHeight="1">
      <x:c r="A67" s="205"/>
      <x:c r="B67" s="205"/>
      <x:c r="C67" s="206"/>
      <x:c r="D67" s="205"/>
      <x:c r="E67" s="207"/>
      <x:c r="F67" s="208"/>
      <x:c r="G67" s="209" t="str">
        <x:f>IF($S67="","",IFERROR(VLOOKUP($S67,'Data'!$D$2:$G$14,3,FALSE),""))</x:f>
      </x:c>
      <x:c r="H67" s="210" t="str">
        <x:f>IF($G67="","",$G67/'Data'!$O$2/'Data'!$O$3)</x:f>
      </x:c>
      <x:c r="I67" s="211"/>
      <x:c r="J67" s="209" t="str">
        <x:f>IF(OR($E67="",$I67=""),"",$I67*'Data'!$O$2*'Data'!$O$3)</x:f>
      </x:c>
      <x:c r="K67" s="212" t="str">
        <x:f>IF(OR($J67="",$G67=""),"",$J67/$G67)</x:f>
      </x:c>
      <x:c r="L67" s="213" t="str">
        <x:f>IF($K67="","",VLOOKUP($K67,'Data'!$I$2:$L$6,3,TRUE))</x:f>
      </x:c>
      <x:c r="M67" s="210" t="str">
        <x:f>IF($L67="","",$I67*$L67)</x:f>
      </x:c>
      <x:c r="N67" s="214" t="str">
        <x:f>IF($M67="","",ROUNDDOWN($I67+$M67,2))</x:f>
      </x:c>
      <x:c r="O67" s="210" t="str">
        <x:f>IF($N67="","",ROUNDDOWN(ROUNDDOWN($N67,2)*$R67,3))</x:f>
      </x:c>
      <x:c r="P67" s="215"/>
      <x:c r="Q67" s="222" t="str">
        <x:f>IF($E67="","",IF(OR(RIGHT(UPPER(TRIM(SUBSTITUTE(CLEAN($E67),CHAR(160)," "))),2)="P1",RIGHT(UPPER(TRIM(SUBSTITUTE(CLEAN($E67),CHAR(160)," "))),2)="P2",RIGHT(UPPER(TRIM(SUBSTITUTE(CLEAN($E67),CHAR(160)," "))),2)="P3",RIGHT(UPPER(TRIM(SUBSTITUTE(CLEAN($E67),CHAR(160)," "))),2)="P4",ISNUMBER(SEARCH("INDUSTRIAL HYGIENIST 1 ENVIRONMENT",UPPER(TRIM(SUBSTITUTE(CLEAN($E67),CHAR(160)," ")))))),"PS","GS"))</x:f>
      </x:c>
      <x:c r="R67" s="223" t="str">
        <x:f>IF($Q67="","",IF($Q67="PS",'Data'!$O$5,'Data'!$O$4))</x:f>
      </x:c>
      <x:c r="S67" s="224" t="str">
        <x:f>IF($E67="","",IFERROR(VLOOKUP($E67,'Data'!$A$2:$B$114,2,FALSE),""))</x:f>
      </x:c>
      <x:c r="T67" s="217" t="str">
        <x:f>IF($K67="","",VLOOKUP($K67,'Data'!$I$2:$L$6,2,TRUE))</x:f>
      </x:c>
      <x:c r="U67" s="217" t="str">
        <x:v>Project Coordinator - I - Administrative (B Support / Professional) - P1</x:v>
      </x:c>
      <x:c r="V67" s="221" t="str">
        <x:f>IF($L67="","",$J67*$L67)</x:f>
      </x:c>
      <x:c r="W67" s="221" t="str">
        <x:f>IF($V67="","",$J67+$V67)</x:f>
      </x:c>
      <x:c r="X67" s="217" t="str">
        <x:f>IF($Y67="Ready","Review and inform supplier","")</x:f>
      </x:c>
      <x:c r="Y67" s="217" t="str">
        <x:f>IF(AND($B67="",$E67="",$I67=""),"",IF($B67="","Missing Assignment Number",IF($E67="","Select Job Title",IF($I67="","Enter Pay Rate",IF($S67="","Job Title not found","Ready")))))</x:f>
      </x:c>
    </x:row>
    <x:row r="68" ht="22" customHeight="1">
      <x:c r="A68" s="205"/>
      <x:c r="B68" s="205"/>
      <x:c r="C68" s="206"/>
      <x:c r="D68" s="205"/>
      <x:c r="E68" s="207"/>
      <x:c r="F68" s="208"/>
      <x:c r="G68" s="209" t="str">
        <x:f>IF($S68="","",IFERROR(VLOOKUP($S68,'Data'!$D$2:$G$14,3,FALSE),""))</x:f>
      </x:c>
      <x:c r="H68" s="210" t="str">
        <x:f>IF($G68="","",$G68/'Data'!$O$2/'Data'!$O$3)</x:f>
      </x:c>
      <x:c r="I68" s="211"/>
      <x:c r="J68" s="209" t="str">
        <x:f>IF(OR($E68="",$I68=""),"",$I68*'Data'!$O$2*'Data'!$O$3)</x:f>
      </x:c>
      <x:c r="K68" s="212" t="str">
        <x:f>IF(OR($J68="",$G68=""),"",$J68/$G68)</x:f>
      </x:c>
      <x:c r="L68" s="213" t="str">
        <x:f>IF($K68="","",VLOOKUP($K68,'Data'!$I$2:$L$6,3,TRUE))</x:f>
      </x:c>
      <x:c r="M68" s="210" t="str">
        <x:f>IF($L68="","",$I68*$L68)</x:f>
      </x:c>
      <x:c r="N68" s="214" t="str">
        <x:f>IF($M68="","",ROUNDDOWN($I68+$M68,2))</x:f>
      </x:c>
      <x:c r="O68" s="210" t="str">
        <x:f>IF($N68="","",ROUNDDOWN(ROUNDDOWN($N68,2)*$R68,3))</x:f>
      </x:c>
      <x:c r="P68" s="215"/>
      <x:c r="Q68" s="222" t="str">
        <x:f>IF($E68="","",IF(OR(RIGHT(UPPER(TRIM(SUBSTITUTE(CLEAN($E68),CHAR(160)," "))),2)="P1",RIGHT(UPPER(TRIM(SUBSTITUTE(CLEAN($E68),CHAR(160)," "))),2)="P2",RIGHT(UPPER(TRIM(SUBSTITUTE(CLEAN($E68),CHAR(160)," "))),2)="P3",RIGHT(UPPER(TRIM(SUBSTITUTE(CLEAN($E68),CHAR(160)," "))),2)="P4",ISNUMBER(SEARCH("INDUSTRIAL HYGIENIST 1 ENVIRONMENT",UPPER(TRIM(SUBSTITUTE(CLEAN($E68),CHAR(160)," ")))))),"PS","GS"))</x:f>
      </x:c>
      <x:c r="R68" s="223" t="str">
        <x:f>IF($Q68="","",IF($Q68="PS",'Data'!$O$5,'Data'!$O$4))</x:f>
      </x:c>
      <x:c r="S68" s="224" t="str">
        <x:f>IF($E68="","",IFERROR(VLOOKUP($E68,'Data'!$A$2:$B$114,2,FALSE),""))</x:f>
      </x:c>
      <x:c r="T68" s="217" t="str">
        <x:f>IF($K68="","",VLOOKUP($K68,'Data'!$I$2:$L$6,2,TRUE))</x:f>
      </x:c>
      <x:c r="U68" s="217" t="str">
        <x:v>Project Coordinator - II - Administrative (B Support / Professional) - P2</x:v>
      </x:c>
      <x:c r="V68" s="221" t="str">
        <x:f>IF($L68="","",$J68*$L68)</x:f>
      </x:c>
      <x:c r="W68" s="221" t="str">
        <x:f>IF($V68="","",$J68+$V68)</x:f>
      </x:c>
      <x:c r="X68" s="217" t="str">
        <x:f>IF($Y68="Ready","Review and inform supplier","")</x:f>
      </x:c>
      <x:c r="Y68" s="217" t="str">
        <x:f>IF(AND($B68="",$E68="",$I68=""),"",IF($B68="","Missing Assignment Number",IF($E68="","Select Job Title",IF($I68="","Enter Pay Rate",IF($S68="","Job Title not found","Ready")))))</x:f>
      </x:c>
    </x:row>
    <x:row r="69" ht="22" customHeight="1">
      <x:c r="A69" s="205"/>
      <x:c r="B69" s="205"/>
      <x:c r="C69" s="206"/>
      <x:c r="D69" s="205"/>
      <x:c r="E69" s="207"/>
      <x:c r="F69" s="208"/>
      <x:c r="G69" s="209" t="str">
        <x:f>IF($S69="","",IFERROR(VLOOKUP($S69,'Data'!$D$2:$G$14,3,FALSE),""))</x:f>
      </x:c>
      <x:c r="H69" s="210" t="str">
        <x:f>IF($G69="","",$G69/'Data'!$O$2/'Data'!$O$3)</x:f>
      </x:c>
      <x:c r="I69" s="211"/>
      <x:c r="J69" s="209" t="str">
        <x:f>IF(OR($E69="",$I69=""),"",$I69*'Data'!$O$2*'Data'!$O$3)</x:f>
      </x:c>
      <x:c r="K69" s="212" t="str">
        <x:f>IF(OR($J69="",$G69=""),"",$J69/$G69)</x:f>
      </x:c>
      <x:c r="L69" s="213" t="str">
        <x:f>IF($K69="","",VLOOKUP($K69,'Data'!$I$2:$L$6,3,TRUE))</x:f>
      </x:c>
      <x:c r="M69" s="210" t="str">
        <x:f>IF($L69="","",$I69*$L69)</x:f>
      </x:c>
      <x:c r="N69" s="214" t="str">
        <x:f>IF($M69="","",ROUNDDOWN($I69+$M69,2))</x:f>
      </x:c>
      <x:c r="O69" s="210" t="str">
        <x:f>IF($N69="","",ROUNDDOWN(ROUNDDOWN($N69,2)*$R69,3))</x:f>
      </x:c>
      <x:c r="P69" s="215"/>
      <x:c r="Q69" s="222" t="str">
        <x:f>IF($E69="","",IF(OR(RIGHT(UPPER(TRIM(SUBSTITUTE(CLEAN($E69),CHAR(160)," "))),2)="P1",RIGHT(UPPER(TRIM(SUBSTITUTE(CLEAN($E69),CHAR(160)," "))),2)="P2",RIGHT(UPPER(TRIM(SUBSTITUTE(CLEAN($E69),CHAR(160)," "))),2)="P3",RIGHT(UPPER(TRIM(SUBSTITUTE(CLEAN($E69),CHAR(160)," "))),2)="P4",ISNUMBER(SEARCH("INDUSTRIAL HYGIENIST 1 ENVIRONMENT",UPPER(TRIM(SUBSTITUTE(CLEAN($E69),CHAR(160)," ")))))),"PS","GS"))</x:f>
      </x:c>
      <x:c r="R69" s="223" t="str">
        <x:f>IF($Q69="","",IF($Q69="PS",'Data'!$O$5,'Data'!$O$4))</x:f>
      </x:c>
      <x:c r="S69" s="224" t="str">
        <x:f>IF($E69="","",IFERROR(VLOOKUP($E69,'Data'!$A$2:$B$114,2,FALSE),""))</x:f>
      </x:c>
      <x:c r="T69" s="217" t="str">
        <x:f>IF($K69="","",VLOOKUP($K69,'Data'!$I$2:$L$6,2,TRUE))</x:f>
      </x:c>
      <x:c r="U69" s="217" t="str">
        <x:v>Project Manager - Il - Engineering (P &amp; O Support /  Professional) - P2</x:v>
      </x:c>
      <x:c r="V69" s="221" t="str">
        <x:f>IF($L69="","",$J69*$L69)</x:f>
      </x:c>
      <x:c r="W69" s="221" t="str">
        <x:f>IF($V69="","",$J69+$V69)</x:f>
      </x:c>
      <x:c r="X69" s="217" t="str">
        <x:f>IF($Y69="Ready","Review and inform supplier","")</x:f>
      </x:c>
      <x:c r="Y69" s="217" t="str">
        <x:f>IF(AND($B69="",$E69="",$I69=""),"",IF($B69="","Missing Assignment Number",IF($E69="","Select Job Title",IF($I69="","Enter Pay Rate",IF($S69="","Job Title not found","Ready")))))</x:f>
      </x:c>
    </x:row>
    <x:row r="70" ht="22" customHeight="1">
      <x:c r="A70" s="205"/>
      <x:c r="B70" s="205"/>
      <x:c r="C70" s="206"/>
      <x:c r="D70" s="205"/>
      <x:c r="E70" s="207"/>
      <x:c r="F70" s="208"/>
      <x:c r="G70" s="209" t="str">
        <x:f>IF($S70="","",IFERROR(VLOOKUP($S70,'Data'!$D$2:$G$14,3,FALSE),""))</x:f>
      </x:c>
      <x:c r="H70" s="210" t="str">
        <x:f>IF($G70="","",$G70/'Data'!$O$2/'Data'!$O$3)</x:f>
      </x:c>
      <x:c r="I70" s="211"/>
      <x:c r="J70" s="209" t="str">
        <x:f>IF(OR($E70="",$I70=""),"",$I70*'Data'!$O$2*'Data'!$O$3)</x:f>
      </x:c>
      <x:c r="K70" s="212" t="str">
        <x:f>IF(OR($J70="",$G70=""),"",$J70/$G70)</x:f>
      </x:c>
      <x:c r="L70" s="213" t="str">
        <x:f>IF($K70="","",VLOOKUP($K70,'Data'!$I$2:$L$6,3,TRUE))</x:f>
      </x:c>
      <x:c r="M70" s="210" t="str">
        <x:f>IF($L70="","",$I70*$L70)</x:f>
      </x:c>
      <x:c r="N70" s="214" t="str">
        <x:f>IF($M70="","",ROUNDDOWN($I70+$M70,2))</x:f>
      </x:c>
      <x:c r="O70" s="210" t="str">
        <x:f>IF($N70="","",ROUNDDOWN(ROUNDDOWN($N70,2)*$R70,3))</x:f>
      </x:c>
      <x:c r="P70" s="215"/>
      <x:c r="Q70" s="222" t="str">
        <x:f>IF($E70="","",IF(OR(RIGHT(UPPER(TRIM(SUBSTITUTE(CLEAN($E70),CHAR(160)," "))),2)="P1",RIGHT(UPPER(TRIM(SUBSTITUTE(CLEAN($E70),CHAR(160)," "))),2)="P2",RIGHT(UPPER(TRIM(SUBSTITUTE(CLEAN($E70),CHAR(160)," "))),2)="P3",RIGHT(UPPER(TRIM(SUBSTITUTE(CLEAN($E70),CHAR(160)," "))),2)="P4",ISNUMBER(SEARCH("INDUSTRIAL HYGIENIST 1 ENVIRONMENT",UPPER(TRIM(SUBSTITUTE(CLEAN($E70),CHAR(160)," ")))))),"PS","GS"))</x:f>
      </x:c>
      <x:c r="R70" s="223" t="str">
        <x:f>IF($Q70="","",IF($Q70="PS",'Data'!$O$5,'Data'!$O$4))</x:f>
      </x:c>
      <x:c r="S70" s="224" t="str">
        <x:f>IF($E70="","",IFERROR(VLOOKUP($E70,'Data'!$A$2:$B$114,2,FALSE),""))</x:f>
      </x:c>
      <x:c r="T70" s="217" t="str">
        <x:f>IF($K70="","",VLOOKUP($K70,'Data'!$I$2:$L$6,2,TRUE))</x:f>
      </x:c>
      <x:c r="U70" s="217" t="str">
        <x:v>Industrial Hygienist 1 Environment</x:v>
      </x:c>
      <x:c r="V70" s="221" t="str">
        <x:f>IF($L70="","",$J70*$L70)</x:f>
      </x:c>
      <x:c r="W70" s="221" t="str">
        <x:f>IF($V70="","",$J70+$V70)</x:f>
      </x:c>
      <x:c r="X70" s="217" t="str">
        <x:f>IF($Y70="Ready","Review and inform supplier","")</x:f>
      </x:c>
      <x:c r="Y70" s="217" t="str">
        <x:f>IF(AND($B70="",$E70="",$I70=""),"",IF($B70="","Missing Assignment Number",IF($E70="","Select Job Title",IF($I70="","Enter Pay Rate",IF($S70="","Job Title not found","Ready")))))</x:f>
      </x:c>
    </x:row>
    <x:row r="71" ht="22" customHeight="1">
      <x:c r="A71" s="205"/>
      <x:c r="B71" s="205"/>
      <x:c r="C71" s="206"/>
      <x:c r="D71" s="205"/>
      <x:c r="E71" s="207"/>
      <x:c r="F71" s="208"/>
      <x:c r="G71" s="209" t="str">
        <x:f>IF($S71="","",IFERROR(VLOOKUP($S71,'Data'!$D$2:$G$14,3,FALSE),""))</x:f>
      </x:c>
      <x:c r="H71" s="210" t="str">
        <x:f>IF($G71="","",$G71/'Data'!$O$2/'Data'!$O$3)</x:f>
      </x:c>
      <x:c r="I71" s="211"/>
      <x:c r="J71" s="209" t="str">
        <x:f>IF(OR($E71="",$I71=""),"",$I71*'Data'!$O$2*'Data'!$O$3)</x:f>
      </x:c>
      <x:c r="K71" s="212" t="str">
        <x:f>IF(OR($J71="",$G71=""),"",$J71/$G71)</x:f>
      </x:c>
      <x:c r="L71" s="213" t="str">
        <x:f>IF($K71="","",VLOOKUP($K71,'Data'!$I$2:$L$6,3,TRUE))</x:f>
      </x:c>
      <x:c r="M71" s="210" t="str">
        <x:f>IF($L71="","",$I71*$L71)</x:f>
      </x:c>
      <x:c r="N71" s="214" t="str">
        <x:f>IF($M71="","",ROUNDDOWN($I71+$M71,2))</x:f>
      </x:c>
      <x:c r="O71" s="210" t="str">
        <x:f>IF($N71="","",ROUNDDOWN(ROUNDDOWN($N71,2)*$R71,3))</x:f>
      </x:c>
      <x:c r="P71" s="215"/>
      <x:c r="Q71" s="222" t="str">
        <x:f>IF($E71="","",IF(OR(RIGHT(UPPER(TRIM(SUBSTITUTE(CLEAN($E71),CHAR(160)," "))),2)="P1",RIGHT(UPPER(TRIM(SUBSTITUTE(CLEAN($E71),CHAR(160)," "))),2)="P2",RIGHT(UPPER(TRIM(SUBSTITUTE(CLEAN($E71),CHAR(160)," "))),2)="P3",RIGHT(UPPER(TRIM(SUBSTITUTE(CLEAN($E71),CHAR(160)," "))),2)="P4",ISNUMBER(SEARCH("INDUSTRIAL HYGIENIST 1 ENVIRONMENT",UPPER(TRIM(SUBSTITUTE(CLEAN($E71),CHAR(160)," ")))))),"PS","GS"))</x:f>
      </x:c>
      <x:c r="R71" s="223" t="str">
        <x:f>IF($Q71="","",IF($Q71="PS",'Data'!$O$5,'Data'!$O$4))</x:f>
      </x:c>
      <x:c r="S71" s="224" t="str">
        <x:f>IF($E71="","",IFERROR(VLOOKUP($E71,'Data'!$A$2:$B$114,2,FALSE),""))</x:f>
      </x:c>
      <x:c r="T71" s="217" t="str">
        <x:f>IF($K71="","",VLOOKUP($K71,'Data'!$I$2:$L$6,2,TRUE))</x:f>
      </x:c>
      <x:c r="U71" s="217" t="str">
        <x:v>Industrial Hygienist 1 Environment Health &amp; Safety P&amp;O Support / Professional P1</x:v>
      </x:c>
      <x:c r="V71" s="221" t="str">
        <x:f>IF($L71="","",$J71*$L71)</x:f>
      </x:c>
      <x:c r="W71" s="221" t="str">
        <x:f>IF($V71="","",$J71+$V71)</x:f>
      </x:c>
      <x:c r="X71" s="217" t="str">
        <x:f>IF($Y71="Ready","Review and inform supplier","")</x:f>
      </x:c>
      <x:c r="Y71" s="217" t="str">
        <x:f>IF(AND($B71="",$E71="",$I71=""),"",IF($B71="","Missing Assignment Number",IF($E71="","Select Job Title",IF($I71="","Enter Pay Rate",IF($S71="","Job Title not found","Ready")))))</x:f>
      </x:c>
    </x:row>
    <x:row r="72" ht="22" customHeight="1">
      <x:c r="A72" s="205"/>
      <x:c r="B72" s="205"/>
      <x:c r="C72" s="206"/>
      <x:c r="D72" s="205"/>
      <x:c r="E72" s="207"/>
      <x:c r="F72" s="208"/>
      <x:c r="G72" s="209" t="str">
        <x:f>IF($S72="","",IFERROR(VLOOKUP($S72,'Data'!$D$2:$G$14,3,FALSE),""))</x:f>
      </x:c>
      <x:c r="H72" s="210" t="str">
        <x:f>IF($G72="","",$G72/'Data'!$O$2/'Data'!$O$3)</x:f>
      </x:c>
      <x:c r="I72" s="211"/>
      <x:c r="J72" s="209" t="str">
        <x:f>IF(OR($E72="",$I72=""),"",$I72*'Data'!$O$2*'Data'!$O$3)</x:f>
      </x:c>
      <x:c r="K72" s="212" t="str">
        <x:f>IF(OR($J72="",$G72=""),"",$J72/$G72)</x:f>
      </x:c>
      <x:c r="L72" s="213" t="str">
        <x:f>IF($K72="","",VLOOKUP($K72,'Data'!$I$2:$L$6,3,TRUE))</x:f>
      </x:c>
      <x:c r="M72" s="210" t="str">
        <x:f>IF($L72="","",$I72*$L72)</x:f>
      </x:c>
      <x:c r="N72" s="214" t="str">
        <x:f>IF($M72="","",ROUNDDOWN($I72+$M72,2))</x:f>
      </x:c>
      <x:c r="O72" s="210" t="str">
        <x:f>IF($N72="","",ROUNDDOWN(ROUNDDOWN($N72,2)*$R72,3))</x:f>
      </x:c>
      <x:c r="P72" s="215"/>
      <x:c r="Q72" s="222" t="str">
        <x:f>IF($E72="","",IF(OR(RIGHT(UPPER(TRIM(SUBSTITUTE(CLEAN($E72),CHAR(160)," "))),2)="P1",RIGHT(UPPER(TRIM(SUBSTITUTE(CLEAN($E72),CHAR(160)," "))),2)="P2",RIGHT(UPPER(TRIM(SUBSTITUTE(CLEAN($E72),CHAR(160)," "))),2)="P3",RIGHT(UPPER(TRIM(SUBSTITUTE(CLEAN($E72),CHAR(160)," "))),2)="P4",ISNUMBER(SEARCH("INDUSTRIAL HYGIENIST 1 ENVIRONMENT",UPPER(TRIM(SUBSTITUTE(CLEAN($E72),CHAR(160)," ")))))),"PS","GS"))</x:f>
      </x:c>
      <x:c r="R72" s="223" t="str">
        <x:f>IF($Q72="","",IF($Q72="PS",'Data'!$O$5,'Data'!$O$4))</x:f>
      </x:c>
      <x:c r="S72" s="224" t="str">
        <x:f>IF($E72="","",IFERROR(VLOOKUP($E72,'Data'!$A$2:$B$114,2,FALSE),""))</x:f>
      </x:c>
      <x:c r="T72" s="217" t="str">
        <x:f>IF($K72="","",VLOOKUP($K72,'Data'!$I$2:$L$6,2,TRUE))</x:f>
      </x:c>
      <x:c r="U72" s="217" t="str">
        <x:v>Industrial Hygienist 1 Environment Health &amp; Safety PO Support Professional P1</x:v>
      </x:c>
      <x:c r="V72" s="221" t="str">
        <x:f>IF($L72="","",$J72*$L72)</x:f>
      </x:c>
      <x:c r="W72" s="221" t="str">
        <x:f>IF($V72="","",$J72+$V72)</x:f>
      </x:c>
      <x:c r="X72" s="217" t="str">
        <x:f>IF($Y72="Ready","Review and inform supplier","")</x:f>
      </x:c>
      <x:c r="Y72" s="217" t="str">
        <x:f>IF(AND($B72="",$E72="",$I72=""),"",IF($B72="","Missing Assignment Number",IF($E72="","Select Job Title",IF($I72="","Enter Pay Rate",IF($S72="","Job Title not found","Ready")))))</x:f>
      </x:c>
    </x:row>
    <x:row r="73" ht="22" customHeight="1">
      <x:c r="A73" s="205"/>
      <x:c r="B73" s="205"/>
      <x:c r="C73" s="206"/>
      <x:c r="D73" s="205"/>
      <x:c r="E73" s="207"/>
      <x:c r="F73" s="208"/>
      <x:c r="G73" s="209" t="str">
        <x:f>IF($S73="","",IFERROR(VLOOKUP($S73,'Data'!$D$2:$G$14,3,FALSE),""))</x:f>
      </x:c>
      <x:c r="H73" s="210" t="str">
        <x:f>IF($G73="","",$G73/'Data'!$O$2/'Data'!$O$3)</x:f>
      </x:c>
      <x:c r="I73" s="211"/>
      <x:c r="J73" s="209" t="str">
        <x:f>IF(OR($E73="",$I73=""),"",$I73*'Data'!$O$2*'Data'!$O$3)</x:f>
      </x:c>
      <x:c r="K73" s="212" t="str">
        <x:f>IF(OR($J73="",$G73=""),"",$J73/$G73)</x:f>
      </x:c>
      <x:c r="L73" s="213" t="str">
        <x:f>IF($K73="","",VLOOKUP($K73,'Data'!$I$2:$L$6,3,TRUE))</x:f>
      </x:c>
      <x:c r="M73" s="210" t="str">
        <x:f>IF($L73="","",$I73*$L73)</x:f>
      </x:c>
      <x:c r="N73" s="214" t="str">
        <x:f>IF($M73="","",ROUNDDOWN($I73+$M73,2))</x:f>
      </x:c>
      <x:c r="O73" s="210" t="str">
        <x:f>IF($N73="","",ROUNDDOWN(ROUNDDOWN($N73,2)*$R73,3))</x:f>
      </x:c>
      <x:c r="P73" s="215"/>
      <x:c r="Q73" s="222" t="str">
        <x:f>IF($E73="","",IF(OR(RIGHT(UPPER(TRIM(SUBSTITUTE(CLEAN($E73),CHAR(160)," "))),2)="P1",RIGHT(UPPER(TRIM(SUBSTITUTE(CLEAN($E73),CHAR(160)," "))),2)="P2",RIGHT(UPPER(TRIM(SUBSTITUTE(CLEAN($E73),CHAR(160)," "))),2)="P3",RIGHT(UPPER(TRIM(SUBSTITUTE(CLEAN($E73),CHAR(160)," "))),2)="P4",ISNUMBER(SEARCH("INDUSTRIAL HYGIENIST 1 ENVIRONMENT",UPPER(TRIM(SUBSTITUTE(CLEAN($E73),CHAR(160)," ")))))),"PS","GS"))</x:f>
      </x:c>
      <x:c r="R73" s="223" t="str">
        <x:f>IF($Q73="","",IF($Q73="PS",'Data'!$O$5,'Data'!$O$4))</x:f>
      </x:c>
      <x:c r="S73" s="224" t="str">
        <x:f>IF($E73="","",IFERROR(VLOOKUP($E73,'Data'!$A$2:$B$114,2,FALSE),""))</x:f>
      </x:c>
      <x:c r="T73" s="217" t="str">
        <x:f>IF($K73="","",VLOOKUP($K73,'Data'!$I$2:$L$6,2,TRUE))</x:f>
      </x:c>
      <x:c r="U73" s="217" t="str">
        <x:v>Industrial Hygienist 1 Environment, Health and Safety, PO Support Professional P1</x:v>
      </x:c>
      <x:c r="V73" s="221" t="str">
        <x:f>IF($L73="","",$J73*$L73)</x:f>
      </x:c>
      <x:c r="W73" s="221" t="str">
        <x:f>IF($V73="","",$J73+$V73)</x:f>
      </x:c>
      <x:c r="X73" s="217" t="str">
        <x:f>IF($Y73="Ready","Review and inform supplier","")</x:f>
      </x:c>
      <x:c r="Y73" s="217" t="str">
        <x:f>IF(AND($B73="",$E73="",$I73=""),"",IF($B73="","Missing Assignment Number",IF($E73="","Select Job Title",IF($I73="","Enter Pay Rate",IF($S73="","Job Title not found","Ready")))))</x:f>
      </x:c>
    </x:row>
    <x:row r="74" ht="22" customHeight="1">
      <x:c r="A74" s="205"/>
      <x:c r="B74" s="205"/>
      <x:c r="C74" s="206"/>
      <x:c r="D74" s="205"/>
      <x:c r="E74" s="207"/>
      <x:c r="F74" s="208"/>
      <x:c r="G74" s="209" t="str">
        <x:f>IF($S74="","",IFERROR(VLOOKUP($S74,'Data'!$D$2:$G$14,3,FALSE),""))</x:f>
      </x:c>
      <x:c r="H74" s="210" t="str">
        <x:f>IF($G74="","",$G74/'Data'!$O$2/'Data'!$O$3)</x:f>
      </x:c>
      <x:c r="I74" s="211"/>
      <x:c r="J74" s="209" t="str">
        <x:f>IF(OR($E74="",$I74=""),"",$I74*'Data'!$O$2*'Data'!$O$3)</x:f>
      </x:c>
      <x:c r="K74" s="212" t="str">
        <x:f>IF(OR($J74="",$G74=""),"",$J74/$G74)</x:f>
      </x:c>
      <x:c r="L74" s="213" t="str">
        <x:f>IF($K74="","",VLOOKUP($K74,'Data'!$I$2:$L$6,3,TRUE))</x:f>
      </x:c>
      <x:c r="M74" s="210" t="str">
        <x:f>IF($L74="","",$I74*$L74)</x:f>
      </x:c>
      <x:c r="N74" s="214" t="str">
        <x:f>IF($M74="","",ROUNDDOWN($I74+$M74,2))</x:f>
      </x:c>
      <x:c r="O74" s="210" t="str">
        <x:f>IF($N74="","",ROUNDDOWN(ROUNDDOWN($N74,2)*$R74,3))</x:f>
      </x:c>
      <x:c r="P74" s="215"/>
      <x:c r="Q74" s="222" t="str">
        <x:f>IF($E74="","",IF(OR(RIGHT(UPPER(TRIM(SUBSTITUTE(CLEAN($E74),CHAR(160)," "))),2)="P1",RIGHT(UPPER(TRIM(SUBSTITUTE(CLEAN($E74),CHAR(160)," "))),2)="P2",RIGHT(UPPER(TRIM(SUBSTITUTE(CLEAN($E74),CHAR(160)," "))),2)="P3",RIGHT(UPPER(TRIM(SUBSTITUTE(CLEAN($E74),CHAR(160)," "))),2)="P4",ISNUMBER(SEARCH("INDUSTRIAL HYGIENIST 1 ENVIRONMENT",UPPER(TRIM(SUBSTITUTE(CLEAN($E74),CHAR(160)," ")))))),"PS","GS"))</x:f>
      </x:c>
      <x:c r="R74" s="223" t="str">
        <x:f>IF($Q74="","",IF($Q74="PS",'Data'!$O$5,'Data'!$O$4))</x:f>
      </x:c>
      <x:c r="S74" s="224" t="str">
        <x:f>IF($E74="","",IFERROR(VLOOKUP($E74,'Data'!$A$2:$B$114,2,FALSE),""))</x:f>
      </x:c>
      <x:c r="T74" s="217" t="str">
        <x:f>IF($K74="","",VLOOKUP($K74,'Data'!$I$2:$L$6,2,TRUE))</x:f>
      </x:c>
      <x:c r="U74" s="217" t="str">
        <x:v>Industrial Hygienist - 1 - Environment Health &amp; Safety P&amp;O Support / Professional - P1</x:v>
      </x:c>
      <x:c r="V74" s="221" t="str">
        <x:f>IF($L74="","",$J74*$L74)</x:f>
      </x:c>
      <x:c r="W74" s="221" t="str">
        <x:f>IF($V74="","",$J74+$V74)</x:f>
      </x:c>
      <x:c r="X74" s="217" t="str">
        <x:f>IF($Y74="Ready","Review and inform supplier","")</x:f>
      </x:c>
      <x:c r="Y74" s="217" t="str">
        <x:f>IF(AND($B74="",$E74="",$I74=""),"",IF($B74="","Missing Assignment Number",IF($E74="","Select Job Title",IF($I74="","Enter Pay Rate",IF($S74="","Job Title not found","Ready")))))</x:f>
      </x:c>
    </x:row>
    <x:row r="75" ht="22" customHeight="1">
      <x:c r="A75" s="205"/>
      <x:c r="B75" s="205"/>
      <x:c r="C75" s="206"/>
      <x:c r="D75" s="205"/>
      <x:c r="E75" s="207"/>
      <x:c r="F75" s="208"/>
      <x:c r="G75" s="209" t="str">
        <x:f>IF($S75="","",IFERROR(VLOOKUP($S75,'Data'!$D$2:$G$14,3,FALSE),""))</x:f>
      </x:c>
      <x:c r="H75" s="210" t="str">
        <x:f>IF($G75="","",$G75/'Data'!$O$2/'Data'!$O$3)</x:f>
      </x:c>
      <x:c r="I75" s="211"/>
      <x:c r="J75" s="209" t="str">
        <x:f>IF(OR($E75="",$I75=""),"",$I75*'Data'!$O$2*'Data'!$O$3)</x:f>
      </x:c>
      <x:c r="K75" s="212" t="str">
        <x:f>IF(OR($J75="",$G75=""),"",$J75/$G75)</x:f>
      </x:c>
      <x:c r="L75" s="213" t="str">
        <x:f>IF($K75="","",VLOOKUP($K75,'Data'!$I$2:$L$6,3,TRUE))</x:f>
      </x:c>
      <x:c r="M75" s="210" t="str">
        <x:f>IF($L75="","",$I75*$L75)</x:f>
      </x:c>
      <x:c r="N75" s="214" t="str">
        <x:f>IF($M75="","",ROUNDDOWN($I75+$M75,2))</x:f>
      </x:c>
      <x:c r="O75" s="210" t="str">
        <x:f>IF($N75="","",ROUNDDOWN(ROUNDDOWN($N75,2)*$R75,3))</x:f>
      </x:c>
      <x:c r="P75" s="215"/>
      <x:c r="Q75" s="222" t="str">
        <x:f>IF($E75="","",IF(OR(RIGHT(UPPER(TRIM(SUBSTITUTE(CLEAN($E75),CHAR(160)," "))),2)="P1",RIGHT(UPPER(TRIM(SUBSTITUTE(CLEAN($E75),CHAR(160)," "))),2)="P2",RIGHT(UPPER(TRIM(SUBSTITUTE(CLEAN($E75),CHAR(160)," "))),2)="P3",RIGHT(UPPER(TRIM(SUBSTITUTE(CLEAN($E75),CHAR(160)," "))),2)="P4",ISNUMBER(SEARCH("INDUSTRIAL HYGIENIST 1 ENVIRONMENT",UPPER(TRIM(SUBSTITUTE(CLEAN($E75),CHAR(160)," ")))))),"PS","GS"))</x:f>
      </x:c>
      <x:c r="R75" s="223" t="str">
        <x:f>IF($Q75="","",IF($Q75="PS",'Data'!$O$5,'Data'!$O$4))</x:f>
      </x:c>
      <x:c r="S75" s="224" t="str">
        <x:f>IF($E75="","",IFERROR(VLOOKUP($E75,'Data'!$A$2:$B$114,2,FALSE),""))</x:f>
      </x:c>
      <x:c r="T75" s="217" t="str">
        <x:f>IF($K75="","",VLOOKUP($K75,'Data'!$I$2:$L$6,2,TRUE))</x:f>
      </x:c>
      <x:c r="U75" s="217" t="str">
        <x:v>Industrial Hygienist - I - Environment Health &amp; Safety P&amp;O Support / Professional - P1</x:v>
      </x:c>
      <x:c r="V75" s="221" t="str">
        <x:f>IF($L75="","",$J75*$L75)</x:f>
      </x:c>
      <x:c r="W75" s="221" t="str">
        <x:f>IF($V75="","",$J75+$V75)</x:f>
      </x:c>
      <x:c r="X75" s="217" t="str">
        <x:f>IF($Y75="Ready","Review and inform supplier","")</x:f>
      </x:c>
      <x:c r="Y75" s="217" t="str">
        <x:f>IF(AND($B75="",$E75="",$I75=""),"",IF($B75="","Missing Assignment Number",IF($E75="","Select Job Title",IF($I75="","Enter Pay Rate",IF($S75="","Job Title not found","Ready")))))</x:f>
      </x:c>
    </x:row>
    <x:row r="76" ht="22" customHeight="1">
      <x:c r="A76" s="205"/>
      <x:c r="B76" s="205"/>
      <x:c r="C76" s="206"/>
      <x:c r="D76" s="205"/>
      <x:c r="E76" s="207"/>
      <x:c r="F76" s="208"/>
      <x:c r="G76" s="209" t="str">
        <x:f>IF($S76="","",IFERROR(VLOOKUP($S76,'Data'!$D$2:$G$14,3,FALSE),""))</x:f>
      </x:c>
      <x:c r="H76" s="210" t="str">
        <x:f>IF($G76="","",$G76/'Data'!$O$2/'Data'!$O$3)</x:f>
      </x:c>
      <x:c r="I76" s="211"/>
      <x:c r="J76" s="209" t="str">
        <x:f>IF(OR($E76="",$I76=""),"",$I76*'Data'!$O$2*'Data'!$O$3)</x:f>
      </x:c>
      <x:c r="K76" s="212" t="str">
        <x:f>IF(OR($J76="",$G76=""),"",$J76/$G76)</x:f>
      </x:c>
      <x:c r="L76" s="213" t="str">
        <x:f>IF($K76="","",VLOOKUP($K76,'Data'!$I$2:$L$6,3,TRUE))</x:f>
      </x:c>
      <x:c r="M76" s="210" t="str">
        <x:f>IF($L76="","",$I76*$L76)</x:f>
      </x:c>
      <x:c r="N76" s="214" t="str">
        <x:f>IF($M76="","",ROUNDDOWN($I76+$M76,2))</x:f>
      </x:c>
      <x:c r="O76" s="210" t="str">
        <x:f>IF($N76="","",ROUNDDOWN(ROUNDDOWN($N76,2)*$R76,3))</x:f>
      </x:c>
      <x:c r="P76" s="215"/>
      <x:c r="Q76" s="222" t="str">
        <x:f>IF($E76="","",IF(OR(RIGHT(UPPER(TRIM(SUBSTITUTE(CLEAN($E76),CHAR(160)," "))),2)="P1",RIGHT(UPPER(TRIM(SUBSTITUTE(CLEAN($E76),CHAR(160)," "))),2)="P2",RIGHT(UPPER(TRIM(SUBSTITUTE(CLEAN($E76),CHAR(160)," "))),2)="P3",RIGHT(UPPER(TRIM(SUBSTITUTE(CLEAN($E76),CHAR(160)," "))),2)="P4",ISNUMBER(SEARCH("INDUSTRIAL HYGIENIST 1 ENVIRONMENT",UPPER(TRIM(SUBSTITUTE(CLEAN($E76),CHAR(160)," ")))))),"PS","GS"))</x:f>
      </x:c>
      <x:c r="R76" s="223" t="str">
        <x:f>IF($Q76="","",IF($Q76="PS",'Data'!$O$5,'Data'!$O$4))</x:f>
      </x:c>
      <x:c r="S76" s="224" t="str">
        <x:f>IF($E76="","",IFERROR(VLOOKUP($E76,'Data'!$A$2:$B$114,2,FALSE),""))</x:f>
      </x:c>
      <x:c r="T76" s="217" t="str">
        <x:f>IF($K76="","",VLOOKUP($K76,'Data'!$I$2:$L$6,2,TRUE))</x:f>
      </x:c>
      <x:c r="U76" s="217"/>
      <x:c r="V76" s="221" t="str">
        <x:f>IF($L76="","",$J76*$L76)</x:f>
      </x:c>
      <x:c r="W76" s="221" t="str">
        <x:f>IF($V76="","",$J76+$V76)</x:f>
      </x:c>
      <x:c r="X76" s="217" t="str">
        <x:f>IF($Y76="Ready","Review and inform supplier","")</x:f>
      </x:c>
      <x:c r="Y76" s="217" t="str">
        <x:f>IF(AND($B76="",$E76="",$I76=""),"",IF($B76="","Missing Assignment Number",IF($E76="","Select Job Title",IF($I76="","Enter Pay Rate",IF($S76="","Job Title not found","Ready")))))</x:f>
      </x:c>
    </x:row>
    <x:row r="77" ht="22" customHeight="1">
      <x:c r="A77" s="205"/>
      <x:c r="B77" s="205"/>
      <x:c r="C77" s="206"/>
      <x:c r="D77" s="205"/>
      <x:c r="E77" s="207"/>
      <x:c r="F77" s="208"/>
      <x:c r="G77" s="209" t="str">
        <x:f>IF($S77="","",IFERROR(VLOOKUP($S77,'Data'!$D$2:$G$14,3,FALSE),""))</x:f>
      </x:c>
      <x:c r="H77" s="210" t="str">
        <x:f>IF($G77="","",$G77/'Data'!$O$2/'Data'!$O$3)</x:f>
      </x:c>
      <x:c r="I77" s="211"/>
      <x:c r="J77" s="209" t="str">
        <x:f>IF(OR($E77="",$I77=""),"",$I77*'Data'!$O$2*'Data'!$O$3)</x:f>
      </x:c>
      <x:c r="K77" s="212" t="str">
        <x:f>IF(OR($J77="",$G77=""),"",$J77/$G77)</x:f>
      </x:c>
      <x:c r="L77" s="213" t="str">
        <x:f>IF($K77="","",VLOOKUP($K77,'Data'!$I$2:$L$6,3,TRUE))</x:f>
      </x:c>
      <x:c r="M77" s="210" t="str">
        <x:f>IF($L77="","",$I77*$L77)</x:f>
      </x:c>
      <x:c r="N77" s="214" t="str">
        <x:f>IF($M77="","",ROUNDDOWN($I77+$M77,2))</x:f>
      </x:c>
      <x:c r="O77" s="210" t="str">
        <x:f>IF($N77="","",ROUNDDOWN(ROUNDDOWN($N77,2)*$R77,3))</x:f>
      </x:c>
      <x:c r="P77" s="215"/>
      <x:c r="Q77" s="222" t="str">
        <x:f>IF($E77="","",IF(OR(RIGHT(UPPER(TRIM(SUBSTITUTE(CLEAN($E77),CHAR(160)," "))),2)="P1",RIGHT(UPPER(TRIM(SUBSTITUTE(CLEAN($E77),CHAR(160)," "))),2)="P2",RIGHT(UPPER(TRIM(SUBSTITUTE(CLEAN($E77),CHAR(160)," "))),2)="P3",RIGHT(UPPER(TRIM(SUBSTITUTE(CLEAN($E77),CHAR(160)," "))),2)="P4",ISNUMBER(SEARCH("INDUSTRIAL HYGIENIST 1 ENVIRONMENT",UPPER(TRIM(SUBSTITUTE(CLEAN($E77),CHAR(160)," ")))))),"PS","GS"))</x:f>
      </x:c>
      <x:c r="R77" s="223" t="str">
        <x:f>IF($Q77="","",IF($Q77="PS",'Data'!$O$5,'Data'!$O$4))</x:f>
      </x:c>
      <x:c r="S77" s="224" t="str">
        <x:f>IF($E77="","",IFERROR(VLOOKUP($E77,'Data'!$A$2:$B$114,2,FALSE),""))</x:f>
      </x:c>
      <x:c r="T77" s="217" t="str">
        <x:f>IF($K77="","",VLOOKUP($K77,'Data'!$I$2:$L$6,2,TRUE))</x:f>
      </x:c>
      <x:c r="U77" s="217"/>
      <x:c r="V77" s="221" t="str">
        <x:f>IF($L77="","",$J77*$L77)</x:f>
      </x:c>
      <x:c r="W77" s="221" t="str">
        <x:f>IF($V77="","",$J77+$V77)</x:f>
      </x:c>
      <x:c r="X77" s="217" t="str">
        <x:f>IF($Y77="Ready","Review and inform supplier","")</x:f>
      </x:c>
      <x:c r="Y77" s="217" t="str">
        <x:f>IF(AND($B77="",$E77="",$I77=""),"",IF($B77="","Missing Assignment Number",IF($E77="","Select Job Title",IF($I77="","Enter Pay Rate",IF($S77="","Job Title not found","Ready")))))</x:f>
      </x:c>
    </x:row>
    <x:row r="78" ht="22" customHeight="1">
      <x:c r="A78" s="205"/>
      <x:c r="B78" s="205"/>
      <x:c r="C78" s="206"/>
      <x:c r="D78" s="205"/>
      <x:c r="E78" s="207"/>
      <x:c r="F78" s="208"/>
      <x:c r="G78" s="209" t="str">
        <x:f>IF($S78="","",IFERROR(VLOOKUP($S78,'Data'!$D$2:$G$14,3,FALSE),""))</x:f>
      </x:c>
      <x:c r="H78" s="210" t="str">
        <x:f>IF($G78="","",$G78/'Data'!$O$2/'Data'!$O$3)</x:f>
      </x:c>
      <x:c r="I78" s="211"/>
      <x:c r="J78" s="209" t="str">
        <x:f>IF(OR($E78="",$I78=""),"",$I78*'Data'!$O$2*'Data'!$O$3)</x:f>
      </x:c>
      <x:c r="K78" s="212" t="str">
        <x:f>IF(OR($J78="",$G78=""),"",$J78/$G78)</x:f>
      </x:c>
      <x:c r="L78" s="213" t="str">
        <x:f>IF($K78="","",VLOOKUP($K78,'Data'!$I$2:$L$6,3,TRUE))</x:f>
      </x:c>
      <x:c r="M78" s="210" t="str">
        <x:f>IF($L78="","",$I78*$L78)</x:f>
      </x:c>
      <x:c r="N78" s="214" t="str">
        <x:f>IF($M78="","",ROUNDDOWN($I78+$M78,2))</x:f>
      </x:c>
      <x:c r="O78" s="210" t="str">
        <x:f>IF($N78="","",ROUNDDOWN(ROUNDDOWN($N78,2)*$R78,3))</x:f>
      </x:c>
      <x:c r="P78" s="215"/>
      <x:c r="Q78" s="222" t="str">
        <x:f>IF($E78="","",IF(OR(RIGHT(UPPER(TRIM(SUBSTITUTE(CLEAN($E78),CHAR(160)," "))),2)="P1",RIGHT(UPPER(TRIM(SUBSTITUTE(CLEAN($E78),CHAR(160)," "))),2)="P2",RIGHT(UPPER(TRIM(SUBSTITUTE(CLEAN($E78),CHAR(160)," "))),2)="P3",RIGHT(UPPER(TRIM(SUBSTITUTE(CLEAN($E78),CHAR(160)," "))),2)="P4",ISNUMBER(SEARCH("INDUSTRIAL HYGIENIST 1 ENVIRONMENT",UPPER(TRIM(SUBSTITUTE(CLEAN($E78),CHAR(160)," ")))))),"PS","GS"))</x:f>
      </x:c>
      <x:c r="R78" s="223" t="str">
        <x:f>IF($Q78="","",IF($Q78="PS",'Data'!$O$5,'Data'!$O$4))</x:f>
      </x:c>
      <x:c r="S78" s="224" t="str">
        <x:f>IF($E78="","",IFERROR(VLOOKUP($E78,'Data'!$A$2:$B$114,2,FALSE),""))</x:f>
      </x:c>
      <x:c r="T78" s="217" t="str">
        <x:f>IF($K78="","",VLOOKUP($K78,'Data'!$I$2:$L$6,2,TRUE))</x:f>
      </x:c>
      <x:c r="U78" s="217"/>
      <x:c r="V78" s="221" t="str">
        <x:f>IF($L78="","",$J78*$L78)</x:f>
      </x:c>
      <x:c r="W78" s="221" t="str">
        <x:f>IF($V78="","",$J78+$V78)</x:f>
      </x:c>
      <x:c r="X78" s="217" t="str">
        <x:f>IF($Y78="Ready","Review and inform supplier","")</x:f>
      </x:c>
      <x:c r="Y78" s="217" t="str">
        <x:f>IF(AND($B78="",$E78="",$I78=""),"",IF($B78="","Missing Assignment Number",IF($E78="","Select Job Title",IF($I78="","Enter Pay Rate",IF($S78="","Job Title not found","Ready")))))</x:f>
      </x:c>
    </x:row>
    <x:row r="79" ht="22" customHeight="1">
      <x:c r="A79" s="205"/>
      <x:c r="B79" s="205"/>
      <x:c r="C79" s="206"/>
      <x:c r="D79" s="205"/>
      <x:c r="E79" s="207"/>
      <x:c r="F79" s="208"/>
      <x:c r="G79" s="209" t="str">
        <x:f>IF($S79="","",IFERROR(VLOOKUP($S79,'Data'!$D$2:$G$14,3,FALSE),""))</x:f>
      </x:c>
      <x:c r="H79" s="210" t="str">
        <x:f>IF($G79="","",$G79/'Data'!$O$2/'Data'!$O$3)</x:f>
      </x:c>
      <x:c r="I79" s="211"/>
      <x:c r="J79" s="209" t="str">
        <x:f>IF(OR($E79="",$I79=""),"",$I79*'Data'!$O$2*'Data'!$O$3)</x:f>
      </x:c>
      <x:c r="K79" s="212" t="str">
        <x:f>IF(OR($J79="",$G79=""),"",$J79/$G79)</x:f>
      </x:c>
      <x:c r="L79" s="213" t="str">
        <x:f>IF($K79="","",VLOOKUP($K79,'Data'!$I$2:$L$6,3,TRUE))</x:f>
      </x:c>
      <x:c r="M79" s="210" t="str">
        <x:f>IF($L79="","",$I79*$L79)</x:f>
      </x:c>
      <x:c r="N79" s="214" t="str">
        <x:f>IF($M79="","",ROUNDDOWN($I79+$M79,2))</x:f>
      </x:c>
      <x:c r="O79" s="210" t="str">
        <x:f>IF($N79="","",ROUNDDOWN(ROUNDDOWN($N79,2)*$R79,3))</x:f>
      </x:c>
      <x:c r="P79" s="215"/>
      <x:c r="Q79" s="222" t="str">
        <x:f>IF($E79="","",IF(OR(RIGHT(UPPER(TRIM(SUBSTITUTE(CLEAN($E79),CHAR(160)," "))),2)="P1",RIGHT(UPPER(TRIM(SUBSTITUTE(CLEAN($E79),CHAR(160)," "))),2)="P2",RIGHT(UPPER(TRIM(SUBSTITUTE(CLEAN($E79),CHAR(160)," "))),2)="P3",RIGHT(UPPER(TRIM(SUBSTITUTE(CLEAN($E79),CHAR(160)," "))),2)="P4",ISNUMBER(SEARCH("INDUSTRIAL HYGIENIST 1 ENVIRONMENT",UPPER(TRIM(SUBSTITUTE(CLEAN($E79),CHAR(160)," ")))))),"PS","GS"))</x:f>
      </x:c>
      <x:c r="R79" s="223" t="str">
        <x:f>IF($Q79="","",IF($Q79="PS",'Data'!$O$5,'Data'!$O$4))</x:f>
      </x:c>
      <x:c r="S79" s="224" t="str">
        <x:f>IF($E79="","",IFERROR(VLOOKUP($E79,'Data'!$A$2:$B$114,2,FALSE),""))</x:f>
      </x:c>
      <x:c r="T79" s="217" t="str">
        <x:f>IF($K79="","",VLOOKUP($K79,'Data'!$I$2:$L$6,2,TRUE))</x:f>
      </x:c>
      <x:c r="U79" s="217"/>
      <x:c r="V79" s="221" t="str">
        <x:f>IF($L79="","",$J79*$L79)</x:f>
      </x:c>
      <x:c r="W79" s="221" t="str">
        <x:f>IF($V79="","",$J79+$V79)</x:f>
      </x:c>
      <x:c r="X79" s="217" t="str">
        <x:f>IF($Y79="Ready","Review and inform supplier","")</x:f>
      </x:c>
      <x:c r="Y79" s="217" t="str">
        <x:f>IF(AND($B79="",$E79="",$I79=""),"",IF($B79="","Missing Assignment Number",IF($E79="","Select Job Title",IF($I79="","Enter Pay Rate",IF($S79="","Job Title not found","Ready")))))</x:f>
      </x:c>
    </x:row>
    <x:row r="80" ht="22" customHeight="1">
      <x:c r="A80" s="205"/>
      <x:c r="B80" s="205"/>
      <x:c r="C80" s="206"/>
      <x:c r="D80" s="205"/>
      <x:c r="E80" s="207"/>
      <x:c r="F80" s="208"/>
      <x:c r="G80" s="209" t="str">
        <x:f>IF($S80="","",IFERROR(VLOOKUP($S80,'Data'!$D$2:$G$14,3,FALSE),""))</x:f>
      </x:c>
      <x:c r="H80" s="210" t="str">
        <x:f>IF($G80="","",$G80/'Data'!$O$2/'Data'!$O$3)</x:f>
      </x:c>
      <x:c r="I80" s="211"/>
      <x:c r="J80" s="209" t="str">
        <x:f>IF(OR($E80="",$I80=""),"",$I80*'Data'!$O$2*'Data'!$O$3)</x:f>
      </x:c>
      <x:c r="K80" s="212" t="str">
        <x:f>IF(OR($J80="",$G80=""),"",$J80/$G80)</x:f>
      </x:c>
      <x:c r="L80" s="213" t="str">
        <x:f>IF($K80="","",VLOOKUP($K80,'Data'!$I$2:$L$6,3,TRUE))</x:f>
      </x:c>
      <x:c r="M80" s="210" t="str">
        <x:f>IF($L80="","",$I80*$L80)</x:f>
      </x:c>
      <x:c r="N80" s="214" t="str">
        <x:f>IF($M80="","",ROUNDDOWN($I80+$M80,2))</x:f>
      </x:c>
      <x:c r="O80" s="210" t="str">
        <x:f>IF($N80="","",ROUNDDOWN(ROUNDDOWN($N80,2)*$R80,3))</x:f>
      </x:c>
      <x:c r="P80" s="215"/>
      <x:c r="Q80" s="222" t="str">
        <x:f>IF($E80="","",IF(OR(RIGHT(UPPER(TRIM(SUBSTITUTE(CLEAN($E80),CHAR(160)," "))),2)="P1",RIGHT(UPPER(TRIM(SUBSTITUTE(CLEAN($E80),CHAR(160)," "))),2)="P2",RIGHT(UPPER(TRIM(SUBSTITUTE(CLEAN($E80),CHAR(160)," "))),2)="P3",RIGHT(UPPER(TRIM(SUBSTITUTE(CLEAN($E80),CHAR(160)," "))),2)="P4",ISNUMBER(SEARCH("INDUSTRIAL HYGIENIST 1 ENVIRONMENT",UPPER(TRIM(SUBSTITUTE(CLEAN($E80),CHAR(160)," ")))))),"PS","GS"))</x:f>
      </x:c>
      <x:c r="R80" s="223" t="str">
        <x:f>IF($Q80="","",IF($Q80="PS",'Data'!$O$5,'Data'!$O$4))</x:f>
      </x:c>
      <x:c r="S80" s="224" t="str">
        <x:f>IF($E80="","",IFERROR(VLOOKUP($E80,'Data'!$A$2:$B$114,2,FALSE),""))</x:f>
      </x:c>
      <x:c r="T80" s="217" t="str">
        <x:f>IF($K80="","",VLOOKUP($K80,'Data'!$I$2:$L$6,2,TRUE))</x:f>
      </x:c>
      <x:c r="U80" s="217"/>
      <x:c r="V80" s="221" t="str">
        <x:f>IF($L80="","",$J80*$L80)</x:f>
      </x:c>
      <x:c r="W80" s="221" t="str">
        <x:f>IF($V80="","",$J80+$V80)</x:f>
      </x:c>
      <x:c r="X80" s="217" t="str">
        <x:f>IF($Y80="Ready","Review and inform supplier","")</x:f>
      </x:c>
      <x:c r="Y80" s="217" t="str">
        <x:f>IF(AND($B80="",$E80="",$I80=""),"",IF($B80="","Missing Assignment Number",IF($E80="","Select Job Title",IF($I80="","Enter Pay Rate",IF($S80="","Job Title not found","Ready")))))</x:f>
      </x:c>
    </x:row>
    <x:row r="81" ht="22" customHeight="1">
      <x:c r="A81" s="205"/>
      <x:c r="B81" s="205"/>
      <x:c r="C81" s="206"/>
      <x:c r="D81" s="205"/>
      <x:c r="E81" s="207"/>
      <x:c r="F81" s="208"/>
      <x:c r="G81" s="209" t="str">
        <x:f>IF($S81="","",IFERROR(VLOOKUP($S81,'Data'!$D$2:$G$14,3,FALSE),""))</x:f>
      </x:c>
      <x:c r="H81" s="210" t="str">
        <x:f>IF($G81="","",$G81/'Data'!$O$2/'Data'!$O$3)</x:f>
      </x:c>
      <x:c r="I81" s="211"/>
      <x:c r="J81" s="209" t="str">
        <x:f>IF(OR($E81="",$I81=""),"",$I81*'Data'!$O$2*'Data'!$O$3)</x:f>
      </x:c>
      <x:c r="K81" s="212" t="str">
        <x:f>IF(OR($J81="",$G81=""),"",$J81/$G81)</x:f>
      </x:c>
      <x:c r="L81" s="213" t="str">
        <x:f>IF($K81="","",VLOOKUP($K81,'Data'!$I$2:$L$6,3,TRUE))</x:f>
      </x:c>
      <x:c r="M81" s="210" t="str">
        <x:f>IF($L81="","",$I81*$L81)</x:f>
      </x:c>
      <x:c r="N81" s="214" t="str">
        <x:f>IF($M81="","",ROUNDDOWN($I81+$M81,2))</x:f>
      </x:c>
      <x:c r="O81" s="210" t="str">
        <x:f>IF($N81="","",ROUNDDOWN(ROUNDDOWN($N81,2)*$R81,3))</x:f>
      </x:c>
      <x:c r="P81" s="215"/>
      <x:c r="Q81" s="222" t="str">
        <x:f>IF($E81="","",IF(OR(RIGHT(UPPER(TRIM(SUBSTITUTE(CLEAN($E81),CHAR(160)," "))),2)="P1",RIGHT(UPPER(TRIM(SUBSTITUTE(CLEAN($E81),CHAR(160)," "))),2)="P2",RIGHT(UPPER(TRIM(SUBSTITUTE(CLEAN($E81),CHAR(160)," "))),2)="P3",RIGHT(UPPER(TRIM(SUBSTITUTE(CLEAN($E81),CHAR(160)," "))),2)="P4",ISNUMBER(SEARCH("INDUSTRIAL HYGIENIST 1 ENVIRONMENT",UPPER(TRIM(SUBSTITUTE(CLEAN($E81),CHAR(160)," ")))))),"PS","GS"))</x:f>
      </x:c>
      <x:c r="R81" s="223" t="str">
        <x:f>IF($Q81="","",IF($Q81="PS",'Data'!$O$5,'Data'!$O$4))</x:f>
      </x:c>
      <x:c r="S81" s="224" t="str">
        <x:f>IF($E81="","",IFERROR(VLOOKUP($E81,'Data'!$A$2:$B$114,2,FALSE),""))</x:f>
      </x:c>
      <x:c r="T81" s="217" t="str">
        <x:f>IF($K81="","",VLOOKUP($K81,'Data'!$I$2:$L$6,2,TRUE))</x:f>
      </x:c>
      <x:c r="U81" s="217"/>
      <x:c r="V81" s="221" t="str">
        <x:f>IF($L81="","",$J81*$L81)</x:f>
      </x:c>
      <x:c r="W81" s="221" t="str">
        <x:f>IF($V81="","",$J81+$V81)</x:f>
      </x:c>
      <x:c r="X81" s="217" t="str">
        <x:f>IF($Y81="Ready","Review and inform supplier","")</x:f>
      </x:c>
      <x:c r="Y81" s="217" t="str">
        <x:f>IF(AND($B81="",$E81="",$I81=""),"",IF($B81="","Missing Assignment Number",IF($E81="","Select Job Title",IF($I81="","Enter Pay Rate",IF($S81="","Job Title not found","Ready")))))</x:f>
      </x:c>
    </x:row>
    <x:row r="82" ht="22" customHeight="1">
      <x:c r="A82" s="205"/>
      <x:c r="B82" s="205"/>
      <x:c r="C82" s="206"/>
      <x:c r="D82" s="205"/>
      <x:c r="E82" s="207"/>
      <x:c r="F82" s="208"/>
      <x:c r="G82" s="209" t="str">
        <x:f>IF($S82="","",IFERROR(VLOOKUP($S82,'Data'!$D$2:$G$14,3,FALSE),""))</x:f>
      </x:c>
      <x:c r="H82" s="210" t="str">
        <x:f>IF($G82="","",$G82/'Data'!$O$2/'Data'!$O$3)</x:f>
      </x:c>
      <x:c r="I82" s="211"/>
      <x:c r="J82" s="209" t="str">
        <x:f>IF(OR($E82="",$I82=""),"",$I82*'Data'!$O$2*'Data'!$O$3)</x:f>
      </x:c>
      <x:c r="K82" s="212" t="str">
        <x:f>IF(OR($J82="",$G82=""),"",$J82/$G82)</x:f>
      </x:c>
      <x:c r="L82" s="213" t="str">
        <x:f>IF($K82="","",VLOOKUP($K82,'Data'!$I$2:$L$6,3,TRUE))</x:f>
      </x:c>
      <x:c r="M82" s="210" t="str">
        <x:f>IF($L82="","",$I82*$L82)</x:f>
      </x:c>
      <x:c r="N82" s="214" t="str">
        <x:f>IF($M82="","",ROUNDDOWN($I82+$M82,2))</x:f>
      </x:c>
      <x:c r="O82" s="210" t="str">
        <x:f>IF($N82="","",ROUNDDOWN(ROUNDDOWN($N82,2)*$R82,3))</x:f>
      </x:c>
      <x:c r="P82" s="215"/>
      <x:c r="Q82" s="222" t="str">
        <x:f>IF($E82="","",IF(OR(RIGHT(UPPER(TRIM(SUBSTITUTE(CLEAN($E82),CHAR(160)," "))),2)="P1",RIGHT(UPPER(TRIM(SUBSTITUTE(CLEAN($E82),CHAR(160)," "))),2)="P2",RIGHT(UPPER(TRIM(SUBSTITUTE(CLEAN($E82),CHAR(160)," "))),2)="P3",RIGHT(UPPER(TRIM(SUBSTITUTE(CLEAN($E82),CHAR(160)," "))),2)="P4",ISNUMBER(SEARCH("INDUSTRIAL HYGIENIST 1 ENVIRONMENT",UPPER(TRIM(SUBSTITUTE(CLEAN($E82),CHAR(160)," ")))))),"PS","GS"))</x:f>
      </x:c>
      <x:c r="R82" s="223" t="str">
        <x:f>IF($Q82="","",IF($Q82="PS",'Data'!$O$5,'Data'!$O$4))</x:f>
      </x:c>
      <x:c r="S82" s="224" t="str">
        <x:f>IF($E82="","",IFERROR(VLOOKUP($E82,'Data'!$A$2:$B$114,2,FALSE),""))</x:f>
      </x:c>
      <x:c r="T82" s="217" t="str">
        <x:f>IF($K82="","",VLOOKUP($K82,'Data'!$I$2:$L$6,2,TRUE))</x:f>
      </x:c>
      <x:c r="U82" s="217"/>
      <x:c r="V82" s="221" t="str">
        <x:f>IF($L82="","",$J82*$L82)</x:f>
      </x:c>
      <x:c r="W82" s="221" t="str">
        <x:f>IF($V82="","",$J82+$V82)</x:f>
      </x:c>
      <x:c r="X82" s="217" t="str">
        <x:f>IF($Y82="Ready","Review and inform supplier","")</x:f>
      </x:c>
      <x:c r="Y82" s="217" t="str">
        <x:f>IF(AND($B82="",$E82="",$I82=""),"",IF($B82="","Missing Assignment Number",IF($E82="","Select Job Title",IF($I82="","Enter Pay Rate",IF($S82="","Job Title not found","Ready")))))</x:f>
      </x:c>
    </x:row>
    <x:row r="83" ht="22" customHeight="1">
      <x:c r="A83" s="205"/>
      <x:c r="B83" s="205"/>
      <x:c r="C83" s="206"/>
      <x:c r="D83" s="205"/>
      <x:c r="E83" s="207"/>
      <x:c r="F83" s="208"/>
      <x:c r="G83" s="209" t="str">
        <x:f>IF($S83="","",IFERROR(VLOOKUP($S83,'Data'!$D$2:$G$14,3,FALSE),""))</x:f>
      </x:c>
      <x:c r="H83" s="210" t="str">
        <x:f>IF($G83="","",$G83/'Data'!$O$2/'Data'!$O$3)</x:f>
      </x:c>
      <x:c r="I83" s="211"/>
      <x:c r="J83" s="209" t="str">
        <x:f>IF(OR($E83="",$I83=""),"",$I83*'Data'!$O$2*'Data'!$O$3)</x:f>
      </x:c>
      <x:c r="K83" s="212" t="str">
        <x:f>IF(OR($J83="",$G83=""),"",$J83/$G83)</x:f>
      </x:c>
      <x:c r="L83" s="213" t="str">
        <x:f>IF($K83="","",VLOOKUP($K83,'Data'!$I$2:$L$6,3,TRUE))</x:f>
      </x:c>
      <x:c r="M83" s="210" t="str">
        <x:f>IF($L83="","",$I83*$L83)</x:f>
      </x:c>
      <x:c r="N83" s="214" t="str">
        <x:f>IF($M83="","",ROUNDDOWN($I83+$M83,2))</x:f>
      </x:c>
      <x:c r="O83" s="210" t="str">
        <x:f>IF($N83="","",ROUNDDOWN(ROUNDDOWN($N83,2)*$R83,3))</x:f>
      </x:c>
      <x:c r="P83" s="215"/>
      <x:c r="Q83" s="222" t="str">
        <x:f>IF($E83="","",IF(OR(RIGHT(UPPER(TRIM(SUBSTITUTE(CLEAN($E83),CHAR(160)," "))),2)="P1",RIGHT(UPPER(TRIM(SUBSTITUTE(CLEAN($E83),CHAR(160)," "))),2)="P2",RIGHT(UPPER(TRIM(SUBSTITUTE(CLEAN($E83),CHAR(160)," "))),2)="P3",RIGHT(UPPER(TRIM(SUBSTITUTE(CLEAN($E83),CHAR(160)," "))),2)="P4",ISNUMBER(SEARCH("INDUSTRIAL HYGIENIST 1 ENVIRONMENT",UPPER(TRIM(SUBSTITUTE(CLEAN($E83),CHAR(160)," ")))))),"PS","GS"))</x:f>
      </x:c>
      <x:c r="R83" s="223" t="str">
        <x:f>IF($Q83="","",IF($Q83="PS",'Data'!$O$5,'Data'!$O$4))</x:f>
      </x:c>
      <x:c r="S83" s="224" t="str">
        <x:f>IF($E83="","",IFERROR(VLOOKUP($E83,'Data'!$A$2:$B$114,2,FALSE),""))</x:f>
      </x:c>
      <x:c r="T83" s="217" t="str">
        <x:f>IF($K83="","",VLOOKUP($K83,'Data'!$I$2:$L$6,2,TRUE))</x:f>
      </x:c>
      <x:c r="U83" s="217"/>
      <x:c r="V83" s="221" t="str">
        <x:f>IF($L83="","",$J83*$L83)</x:f>
      </x:c>
      <x:c r="W83" s="221" t="str">
        <x:f>IF($V83="","",$J83+$V83)</x:f>
      </x:c>
      <x:c r="X83" s="217" t="str">
        <x:f>IF($Y83="Ready","Review and inform supplier","")</x:f>
      </x:c>
      <x:c r="Y83" s="217" t="str">
        <x:f>IF(AND($B83="",$E83="",$I83=""),"",IF($B83="","Missing Assignment Number",IF($E83="","Select Job Title",IF($I83="","Enter Pay Rate",IF($S83="","Job Title not found","Ready")))))</x:f>
      </x:c>
    </x:row>
    <x:row r="84" ht="22" customHeight="1">
      <x:c r="A84" s="205"/>
      <x:c r="B84" s="205"/>
      <x:c r="C84" s="206"/>
      <x:c r="D84" s="205"/>
      <x:c r="E84" s="207"/>
      <x:c r="F84" s="208"/>
      <x:c r="G84" s="209" t="str">
        <x:f>IF($S84="","",IFERROR(VLOOKUP($S84,'Data'!$D$2:$G$14,3,FALSE),""))</x:f>
      </x:c>
      <x:c r="H84" s="210" t="str">
        <x:f>IF($G84="","",$G84/'Data'!$O$2/'Data'!$O$3)</x:f>
      </x:c>
      <x:c r="I84" s="211"/>
      <x:c r="J84" s="209" t="str">
        <x:f>IF(OR($E84="",$I84=""),"",$I84*'Data'!$O$2*'Data'!$O$3)</x:f>
      </x:c>
      <x:c r="K84" s="212" t="str">
        <x:f>IF(OR($J84="",$G84=""),"",$J84/$G84)</x:f>
      </x:c>
      <x:c r="L84" s="213" t="str">
        <x:f>IF($K84="","",VLOOKUP($K84,'Data'!$I$2:$L$6,3,TRUE))</x:f>
      </x:c>
      <x:c r="M84" s="210" t="str">
        <x:f>IF($L84="","",$I84*$L84)</x:f>
      </x:c>
      <x:c r="N84" s="214" t="str">
        <x:f>IF($M84="","",ROUNDDOWN($I84+$M84,2))</x:f>
      </x:c>
      <x:c r="O84" s="210" t="str">
        <x:f>IF($N84="","",ROUNDDOWN(ROUNDDOWN($N84,2)*$R84,3))</x:f>
      </x:c>
      <x:c r="P84" s="215"/>
      <x:c r="Q84" s="222" t="str">
        <x:f>IF($E84="","",IF(OR(RIGHT(UPPER(TRIM(SUBSTITUTE(CLEAN($E84),CHAR(160)," "))),2)="P1",RIGHT(UPPER(TRIM(SUBSTITUTE(CLEAN($E84),CHAR(160)," "))),2)="P2",RIGHT(UPPER(TRIM(SUBSTITUTE(CLEAN($E84),CHAR(160)," "))),2)="P3",RIGHT(UPPER(TRIM(SUBSTITUTE(CLEAN($E84),CHAR(160)," "))),2)="P4",ISNUMBER(SEARCH("INDUSTRIAL HYGIENIST 1 ENVIRONMENT",UPPER(TRIM(SUBSTITUTE(CLEAN($E84),CHAR(160)," ")))))),"PS","GS"))</x:f>
      </x:c>
      <x:c r="R84" s="223" t="str">
        <x:f>IF($Q84="","",IF($Q84="PS",'Data'!$O$5,'Data'!$O$4))</x:f>
      </x:c>
      <x:c r="S84" s="224" t="str">
        <x:f>IF($E84="","",IFERROR(VLOOKUP($E84,'Data'!$A$2:$B$114,2,FALSE),""))</x:f>
      </x:c>
      <x:c r="T84" s="217" t="str">
        <x:f>IF($K84="","",VLOOKUP($K84,'Data'!$I$2:$L$6,2,TRUE))</x:f>
      </x:c>
      <x:c r="U84" s="217"/>
      <x:c r="V84" s="221" t="str">
        <x:f>IF($L84="","",$J84*$L84)</x:f>
      </x:c>
      <x:c r="W84" s="221" t="str">
        <x:f>IF($V84="","",$J84+$V84)</x:f>
      </x:c>
      <x:c r="X84" s="217" t="str">
        <x:f>IF($Y84="Ready","Review and inform supplier","")</x:f>
      </x:c>
      <x:c r="Y84" s="217" t="str">
        <x:f>IF(AND($B84="",$E84="",$I84=""),"",IF($B84="","Missing Assignment Number",IF($E84="","Select Job Title",IF($I84="","Enter Pay Rate",IF($S84="","Job Title not found","Ready")))))</x:f>
      </x:c>
    </x:row>
    <x:row r="85" ht="22" customHeight="1">
      <x:c r="A85" s="205"/>
      <x:c r="B85" s="205"/>
      <x:c r="C85" s="206"/>
      <x:c r="D85" s="205"/>
      <x:c r="E85" s="207"/>
      <x:c r="F85" s="208"/>
      <x:c r="G85" s="209" t="str">
        <x:f>IF($S85="","",IFERROR(VLOOKUP($S85,'Data'!$D$2:$G$14,3,FALSE),""))</x:f>
      </x:c>
      <x:c r="H85" s="210" t="str">
        <x:f>IF($G85="","",$G85/'Data'!$O$2/'Data'!$O$3)</x:f>
      </x:c>
      <x:c r="I85" s="211"/>
      <x:c r="J85" s="209" t="str">
        <x:f>IF(OR($E85="",$I85=""),"",$I85*'Data'!$O$2*'Data'!$O$3)</x:f>
      </x:c>
      <x:c r="K85" s="212" t="str">
        <x:f>IF(OR($J85="",$G85=""),"",$J85/$G85)</x:f>
      </x:c>
      <x:c r="L85" s="213" t="str">
        <x:f>IF($K85="","",VLOOKUP($K85,'Data'!$I$2:$L$6,3,TRUE))</x:f>
      </x:c>
      <x:c r="M85" s="210" t="str">
        <x:f>IF($L85="","",$I85*$L85)</x:f>
      </x:c>
      <x:c r="N85" s="214" t="str">
        <x:f>IF($M85="","",ROUNDDOWN($I85+$M85,2))</x:f>
      </x:c>
      <x:c r="O85" s="210" t="str">
        <x:f>IF($N85="","",ROUNDDOWN(ROUNDDOWN($N85,2)*$R85,3))</x:f>
      </x:c>
      <x:c r="P85" s="215"/>
      <x:c r="Q85" s="222" t="str">
        <x:f>IF($E85="","",IF(OR(RIGHT(UPPER(TRIM(SUBSTITUTE(CLEAN($E85),CHAR(160)," "))),2)="P1",RIGHT(UPPER(TRIM(SUBSTITUTE(CLEAN($E85),CHAR(160)," "))),2)="P2",RIGHT(UPPER(TRIM(SUBSTITUTE(CLEAN($E85),CHAR(160)," "))),2)="P3",RIGHT(UPPER(TRIM(SUBSTITUTE(CLEAN($E85),CHAR(160)," "))),2)="P4",ISNUMBER(SEARCH("INDUSTRIAL HYGIENIST 1 ENVIRONMENT",UPPER(TRIM(SUBSTITUTE(CLEAN($E85),CHAR(160)," ")))))),"PS","GS"))</x:f>
      </x:c>
      <x:c r="R85" s="223" t="str">
        <x:f>IF($Q85="","",IF($Q85="PS",'Data'!$O$5,'Data'!$O$4))</x:f>
      </x:c>
      <x:c r="S85" s="224" t="str">
        <x:f>IF($E85="","",IFERROR(VLOOKUP($E85,'Data'!$A$2:$B$114,2,FALSE),""))</x:f>
      </x:c>
      <x:c r="T85" s="217" t="str">
        <x:f>IF($K85="","",VLOOKUP($K85,'Data'!$I$2:$L$6,2,TRUE))</x:f>
      </x:c>
      <x:c r="U85" s="217"/>
      <x:c r="V85" s="221" t="str">
        <x:f>IF($L85="","",$J85*$L85)</x:f>
      </x:c>
      <x:c r="W85" s="221" t="str">
        <x:f>IF($V85="","",$J85+$V85)</x:f>
      </x:c>
      <x:c r="X85" s="217" t="str">
        <x:f>IF($Y85="Ready","Review and inform supplier","")</x:f>
      </x:c>
      <x:c r="Y85" s="217" t="str">
        <x:f>IF(AND($B85="",$E85="",$I85=""),"",IF($B85="","Missing Assignment Number",IF($E85="","Select Job Title",IF($I85="","Enter Pay Rate",IF($S85="","Job Title not found","Ready")))))</x:f>
      </x:c>
    </x:row>
    <x:row r="86" ht="22" customHeight="1">
      <x:c r="A86" s="205"/>
      <x:c r="B86" s="205"/>
      <x:c r="C86" s="206"/>
      <x:c r="D86" s="205"/>
      <x:c r="E86" s="207"/>
      <x:c r="F86" s="208"/>
      <x:c r="G86" s="209" t="str">
        <x:f>IF($S86="","",IFERROR(VLOOKUP($S86,'Data'!$D$2:$G$14,3,FALSE),""))</x:f>
      </x:c>
      <x:c r="H86" s="210" t="str">
        <x:f>IF($G86="","",$G86/'Data'!$O$2/'Data'!$O$3)</x:f>
      </x:c>
      <x:c r="I86" s="211"/>
      <x:c r="J86" s="209" t="str">
        <x:f>IF(OR($E86="",$I86=""),"",$I86*'Data'!$O$2*'Data'!$O$3)</x:f>
      </x:c>
      <x:c r="K86" s="212" t="str">
        <x:f>IF(OR($J86="",$G86=""),"",$J86/$G86)</x:f>
      </x:c>
      <x:c r="L86" s="213" t="str">
        <x:f>IF($K86="","",VLOOKUP($K86,'Data'!$I$2:$L$6,3,TRUE))</x:f>
      </x:c>
      <x:c r="M86" s="210" t="str">
        <x:f>IF($L86="","",$I86*$L86)</x:f>
      </x:c>
      <x:c r="N86" s="214" t="str">
        <x:f>IF($M86="","",ROUNDDOWN($I86+$M86,2))</x:f>
      </x:c>
      <x:c r="O86" s="210" t="str">
        <x:f>IF($N86="","",ROUNDDOWN(ROUNDDOWN($N86,2)*$R86,3))</x:f>
      </x:c>
      <x:c r="P86" s="215"/>
      <x:c r="Q86" s="222" t="str">
        <x:f>IF($E86="","",IF(OR(RIGHT(UPPER(TRIM(SUBSTITUTE(CLEAN($E86),CHAR(160)," "))),2)="P1",RIGHT(UPPER(TRIM(SUBSTITUTE(CLEAN($E86),CHAR(160)," "))),2)="P2",RIGHT(UPPER(TRIM(SUBSTITUTE(CLEAN($E86),CHAR(160)," "))),2)="P3",RIGHT(UPPER(TRIM(SUBSTITUTE(CLEAN($E86),CHAR(160)," "))),2)="P4",ISNUMBER(SEARCH("INDUSTRIAL HYGIENIST 1 ENVIRONMENT",UPPER(TRIM(SUBSTITUTE(CLEAN($E86),CHAR(160)," ")))))),"PS","GS"))</x:f>
      </x:c>
      <x:c r="R86" s="223" t="str">
        <x:f>IF($Q86="","",IF($Q86="PS",'Data'!$O$5,'Data'!$O$4))</x:f>
      </x:c>
      <x:c r="S86" s="224" t="str">
        <x:f>IF($E86="","",IFERROR(VLOOKUP($E86,'Data'!$A$2:$B$114,2,FALSE),""))</x:f>
      </x:c>
      <x:c r="T86" s="217" t="str">
        <x:f>IF($K86="","",VLOOKUP($K86,'Data'!$I$2:$L$6,2,TRUE))</x:f>
      </x:c>
      <x:c r="U86" s="217"/>
      <x:c r="V86" s="221" t="str">
        <x:f>IF($L86="","",$J86*$L86)</x:f>
      </x:c>
      <x:c r="W86" s="221" t="str">
        <x:f>IF($V86="","",$J86+$V86)</x:f>
      </x:c>
      <x:c r="X86" s="217" t="str">
        <x:f>IF($Y86="Ready","Review and inform supplier","")</x:f>
      </x:c>
      <x:c r="Y86" s="217" t="str">
        <x:f>IF(AND($B86="",$E86="",$I86=""),"",IF($B86="","Missing Assignment Number",IF($E86="","Select Job Title",IF($I86="","Enter Pay Rate",IF($S86="","Job Title not found","Ready")))))</x:f>
      </x:c>
    </x:row>
    <x:row r="87" ht="22" customHeight="1">
      <x:c r="A87" s="205"/>
      <x:c r="B87" s="205"/>
      <x:c r="C87" s="206"/>
      <x:c r="D87" s="205"/>
      <x:c r="E87" s="207"/>
      <x:c r="F87" s="208"/>
      <x:c r="G87" s="209" t="str">
        <x:f>IF($S87="","",IFERROR(VLOOKUP($S87,'Data'!$D$2:$G$14,3,FALSE),""))</x:f>
      </x:c>
      <x:c r="H87" s="210" t="str">
        <x:f>IF($G87="","",$G87/'Data'!$O$2/'Data'!$O$3)</x:f>
      </x:c>
      <x:c r="I87" s="211"/>
      <x:c r="J87" s="209" t="str">
        <x:f>IF(OR($E87="",$I87=""),"",$I87*'Data'!$O$2*'Data'!$O$3)</x:f>
      </x:c>
      <x:c r="K87" s="212" t="str">
        <x:f>IF(OR($J87="",$G87=""),"",$J87/$G87)</x:f>
      </x:c>
      <x:c r="L87" s="213" t="str">
        <x:f>IF($K87="","",VLOOKUP($K87,'Data'!$I$2:$L$6,3,TRUE))</x:f>
      </x:c>
      <x:c r="M87" s="210" t="str">
        <x:f>IF($L87="","",$I87*$L87)</x:f>
      </x:c>
      <x:c r="N87" s="214" t="str">
        <x:f>IF($M87="","",ROUNDDOWN($I87+$M87,2))</x:f>
      </x:c>
      <x:c r="O87" s="210" t="str">
        <x:f>IF($N87="","",ROUNDDOWN(ROUNDDOWN($N87,2)*$R87,3))</x:f>
      </x:c>
      <x:c r="P87" s="215"/>
      <x:c r="Q87" s="222" t="str">
        <x:f>IF($E87="","",IF(OR(RIGHT(UPPER(TRIM(SUBSTITUTE(CLEAN($E87),CHAR(160)," "))),2)="P1",RIGHT(UPPER(TRIM(SUBSTITUTE(CLEAN($E87),CHAR(160)," "))),2)="P2",RIGHT(UPPER(TRIM(SUBSTITUTE(CLEAN($E87),CHAR(160)," "))),2)="P3",RIGHT(UPPER(TRIM(SUBSTITUTE(CLEAN($E87),CHAR(160)," "))),2)="P4",ISNUMBER(SEARCH("INDUSTRIAL HYGIENIST 1 ENVIRONMENT",UPPER(TRIM(SUBSTITUTE(CLEAN($E87),CHAR(160)," ")))))),"PS","GS"))</x:f>
      </x:c>
      <x:c r="R87" s="223" t="str">
        <x:f>IF($Q87="","",IF($Q87="PS",'Data'!$O$5,'Data'!$O$4))</x:f>
      </x:c>
      <x:c r="S87" s="224" t="str">
        <x:f>IF($E87="","",IFERROR(VLOOKUP($E87,'Data'!$A$2:$B$114,2,FALSE),""))</x:f>
      </x:c>
      <x:c r="T87" s="217" t="str">
        <x:f>IF($K87="","",VLOOKUP($K87,'Data'!$I$2:$L$6,2,TRUE))</x:f>
      </x:c>
      <x:c r="U87" s="217"/>
      <x:c r="V87" s="221" t="str">
        <x:f>IF($L87="","",$J87*$L87)</x:f>
      </x:c>
      <x:c r="W87" s="221" t="str">
        <x:f>IF($V87="","",$J87+$V87)</x:f>
      </x:c>
      <x:c r="X87" s="217" t="str">
        <x:f>IF($Y87="Ready","Review and inform supplier","")</x:f>
      </x:c>
      <x:c r="Y87" s="217" t="str">
        <x:f>IF(AND($B87="",$E87="",$I87=""),"",IF($B87="","Missing Assignment Number",IF($E87="","Select Job Title",IF($I87="","Enter Pay Rate",IF($S87="","Job Title not found","Ready")))))</x:f>
      </x:c>
    </x:row>
    <x:row r="88" ht="22" customHeight="1">
      <x:c r="A88" s="205"/>
      <x:c r="B88" s="205"/>
      <x:c r="C88" s="206"/>
      <x:c r="D88" s="205"/>
      <x:c r="E88" s="207"/>
      <x:c r="F88" s="208"/>
      <x:c r="G88" s="209" t="str">
        <x:f>IF($S88="","",IFERROR(VLOOKUP($S88,'Data'!$D$2:$G$14,3,FALSE),""))</x:f>
      </x:c>
      <x:c r="H88" s="210" t="str">
        <x:f>IF($G88="","",$G88/'Data'!$O$2/'Data'!$O$3)</x:f>
      </x:c>
      <x:c r="I88" s="211"/>
      <x:c r="J88" s="209" t="str">
        <x:f>IF(OR($E88="",$I88=""),"",$I88*'Data'!$O$2*'Data'!$O$3)</x:f>
      </x:c>
      <x:c r="K88" s="212" t="str">
        <x:f>IF(OR($J88="",$G88=""),"",$J88/$G88)</x:f>
      </x:c>
      <x:c r="L88" s="213" t="str">
        <x:f>IF($K88="","",VLOOKUP($K88,'Data'!$I$2:$L$6,3,TRUE))</x:f>
      </x:c>
      <x:c r="M88" s="210" t="str">
        <x:f>IF($L88="","",$I88*$L88)</x:f>
      </x:c>
      <x:c r="N88" s="214" t="str">
        <x:f>IF($M88="","",ROUNDDOWN($I88+$M88,2))</x:f>
      </x:c>
      <x:c r="O88" s="210" t="str">
        <x:f>IF($N88="","",ROUNDDOWN(ROUNDDOWN($N88,2)*$R88,3))</x:f>
      </x:c>
      <x:c r="P88" s="215"/>
      <x:c r="Q88" s="222" t="str">
        <x:f>IF($E88="","",IF(OR(RIGHT(UPPER(TRIM(SUBSTITUTE(CLEAN($E88),CHAR(160)," "))),2)="P1",RIGHT(UPPER(TRIM(SUBSTITUTE(CLEAN($E88),CHAR(160)," "))),2)="P2",RIGHT(UPPER(TRIM(SUBSTITUTE(CLEAN($E88),CHAR(160)," "))),2)="P3",RIGHT(UPPER(TRIM(SUBSTITUTE(CLEAN($E88),CHAR(160)," "))),2)="P4",ISNUMBER(SEARCH("INDUSTRIAL HYGIENIST 1 ENVIRONMENT",UPPER(TRIM(SUBSTITUTE(CLEAN($E88),CHAR(160)," ")))))),"PS","GS"))</x:f>
      </x:c>
      <x:c r="R88" s="223" t="str">
        <x:f>IF($Q88="","",IF($Q88="PS",'Data'!$O$5,'Data'!$O$4))</x:f>
      </x:c>
      <x:c r="S88" s="224" t="str">
        <x:f>IF($E88="","",IFERROR(VLOOKUP($E88,'Data'!$A$2:$B$114,2,FALSE),""))</x:f>
      </x:c>
      <x:c r="T88" s="217" t="str">
        <x:f>IF($K88="","",VLOOKUP($K88,'Data'!$I$2:$L$6,2,TRUE))</x:f>
      </x:c>
      <x:c r="U88" s="217"/>
      <x:c r="V88" s="221" t="str">
        <x:f>IF($L88="","",$J88*$L88)</x:f>
      </x:c>
      <x:c r="W88" s="221" t="str">
        <x:f>IF($V88="","",$J88+$V88)</x:f>
      </x:c>
      <x:c r="X88" s="217" t="str">
        <x:f>IF($Y88="Ready","Review and inform supplier","")</x:f>
      </x:c>
      <x:c r="Y88" s="217" t="str">
        <x:f>IF(AND($B88="",$E88="",$I88=""),"",IF($B88="","Missing Assignment Number",IF($E88="","Select Job Title",IF($I88="","Enter Pay Rate",IF($S88="","Job Title not found","Ready")))))</x:f>
      </x:c>
    </x:row>
    <x:row r="89" ht="22" customHeight="1">
      <x:c r="A89" s="205"/>
      <x:c r="B89" s="205"/>
      <x:c r="C89" s="206"/>
      <x:c r="D89" s="205"/>
      <x:c r="E89" s="207"/>
      <x:c r="F89" s="208"/>
      <x:c r="G89" s="209" t="str">
        <x:f>IF($S89="","",IFERROR(VLOOKUP($S89,'Data'!$D$2:$G$14,3,FALSE),""))</x:f>
      </x:c>
      <x:c r="H89" s="210" t="str">
        <x:f>IF($G89="","",$G89/'Data'!$O$2/'Data'!$O$3)</x:f>
      </x:c>
      <x:c r="I89" s="211"/>
      <x:c r="J89" s="209" t="str">
        <x:f>IF(OR($E89="",$I89=""),"",$I89*'Data'!$O$2*'Data'!$O$3)</x:f>
      </x:c>
      <x:c r="K89" s="212" t="str">
        <x:f>IF(OR($J89="",$G89=""),"",$J89/$G89)</x:f>
      </x:c>
      <x:c r="L89" s="213" t="str">
        <x:f>IF($K89="","",VLOOKUP($K89,'Data'!$I$2:$L$6,3,TRUE))</x:f>
      </x:c>
      <x:c r="M89" s="210" t="str">
        <x:f>IF($L89="","",$I89*$L89)</x:f>
      </x:c>
      <x:c r="N89" s="214" t="str">
        <x:f>IF($M89="","",ROUNDDOWN($I89+$M89,2))</x:f>
      </x:c>
      <x:c r="O89" s="210" t="str">
        <x:f>IF($N89="","",ROUNDDOWN(ROUNDDOWN($N89,2)*$R89,3))</x:f>
      </x:c>
      <x:c r="P89" s="215"/>
      <x:c r="Q89" s="222" t="str">
        <x:f>IF($E89="","",IF(OR(RIGHT(UPPER(TRIM(SUBSTITUTE(CLEAN($E89),CHAR(160)," "))),2)="P1",RIGHT(UPPER(TRIM(SUBSTITUTE(CLEAN($E89),CHAR(160)," "))),2)="P2",RIGHT(UPPER(TRIM(SUBSTITUTE(CLEAN($E89),CHAR(160)," "))),2)="P3",RIGHT(UPPER(TRIM(SUBSTITUTE(CLEAN($E89),CHAR(160)," "))),2)="P4",ISNUMBER(SEARCH("INDUSTRIAL HYGIENIST 1 ENVIRONMENT",UPPER(TRIM(SUBSTITUTE(CLEAN($E89),CHAR(160)," ")))))),"PS","GS"))</x:f>
      </x:c>
      <x:c r="R89" s="223" t="str">
        <x:f>IF($Q89="","",IF($Q89="PS",'Data'!$O$5,'Data'!$O$4))</x:f>
      </x:c>
      <x:c r="S89" s="224" t="str">
        <x:f>IF($E89="","",IFERROR(VLOOKUP($E89,'Data'!$A$2:$B$114,2,FALSE),""))</x:f>
      </x:c>
      <x:c r="T89" s="217" t="str">
        <x:f>IF($K89="","",VLOOKUP($K89,'Data'!$I$2:$L$6,2,TRUE))</x:f>
      </x:c>
      <x:c r="U89" s="217"/>
      <x:c r="V89" s="221" t="str">
        <x:f>IF($L89="","",$J89*$L89)</x:f>
      </x:c>
      <x:c r="W89" s="221" t="str">
        <x:f>IF($V89="","",$J89+$V89)</x:f>
      </x:c>
      <x:c r="X89" s="217" t="str">
        <x:f>IF($Y89="Ready","Review and inform supplier","")</x:f>
      </x:c>
      <x:c r="Y89" s="217" t="str">
        <x:f>IF(AND($B89="",$E89="",$I89=""),"",IF($B89="","Missing Assignment Number",IF($E89="","Select Job Title",IF($I89="","Enter Pay Rate",IF($S89="","Job Title not found","Ready")))))</x:f>
      </x:c>
    </x:row>
    <x:row r="90" ht="22" customHeight="1">
      <x:c r="A90" s="205"/>
      <x:c r="B90" s="205"/>
      <x:c r="C90" s="206"/>
      <x:c r="D90" s="205"/>
      <x:c r="E90" s="207"/>
      <x:c r="F90" s="208"/>
      <x:c r="G90" s="209" t="str">
        <x:f>IF($S90="","",IFERROR(VLOOKUP($S90,'Data'!$D$2:$G$14,3,FALSE),""))</x:f>
      </x:c>
      <x:c r="H90" s="210" t="str">
        <x:f>IF($G90="","",$G90/'Data'!$O$2/'Data'!$O$3)</x:f>
      </x:c>
      <x:c r="I90" s="211"/>
      <x:c r="J90" s="209" t="str">
        <x:f>IF(OR($E90="",$I90=""),"",$I90*'Data'!$O$2*'Data'!$O$3)</x:f>
      </x:c>
      <x:c r="K90" s="212" t="str">
        <x:f>IF(OR($J90="",$G90=""),"",$J90/$G90)</x:f>
      </x:c>
      <x:c r="L90" s="213" t="str">
        <x:f>IF($K90="","",VLOOKUP($K90,'Data'!$I$2:$L$6,3,TRUE))</x:f>
      </x:c>
      <x:c r="M90" s="210" t="str">
        <x:f>IF($L90="","",$I90*$L90)</x:f>
      </x:c>
      <x:c r="N90" s="214" t="str">
        <x:f>IF($M90="","",ROUNDDOWN($I90+$M90,2))</x:f>
      </x:c>
      <x:c r="O90" s="210" t="str">
        <x:f>IF($N90="","",ROUNDDOWN(ROUNDDOWN($N90,2)*$R90,3))</x:f>
      </x:c>
      <x:c r="P90" s="215"/>
      <x:c r="Q90" s="222" t="str">
        <x:f>IF($E90="","",IF(OR(RIGHT(UPPER(TRIM(SUBSTITUTE(CLEAN($E90),CHAR(160)," "))),2)="P1",RIGHT(UPPER(TRIM(SUBSTITUTE(CLEAN($E90),CHAR(160)," "))),2)="P2",RIGHT(UPPER(TRIM(SUBSTITUTE(CLEAN($E90),CHAR(160)," "))),2)="P3",RIGHT(UPPER(TRIM(SUBSTITUTE(CLEAN($E90),CHAR(160)," "))),2)="P4",ISNUMBER(SEARCH("INDUSTRIAL HYGIENIST 1 ENVIRONMENT",UPPER(TRIM(SUBSTITUTE(CLEAN($E90),CHAR(160)," ")))))),"PS","GS"))</x:f>
      </x:c>
      <x:c r="R90" s="223" t="str">
        <x:f>IF($Q90="","",IF($Q90="PS",'Data'!$O$5,'Data'!$O$4))</x:f>
      </x:c>
      <x:c r="S90" s="224" t="str">
        <x:f>IF($E90="","",IFERROR(VLOOKUP($E90,'Data'!$A$2:$B$114,2,FALSE),""))</x:f>
      </x:c>
      <x:c r="T90" s="217" t="str">
        <x:f>IF($K90="","",VLOOKUP($K90,'Data'!$I$2:$L$6,2,TRUE))</x:f>
      </x:c>
      <x:c r="U90" s="217"/>
      <x:c r="V90" s="221" t="str">
        <x:f>IF($L90="","",$J90*$L90)</x:f>
      </x:c>
      <x:c r="W90" s="221" t="str">
        <x:f>IF($V90="","",$J90+$V90)</x:f>
      </x:c>
      <x:c r="X90" s="217" t="str">
        <x:f>IF($Y90="Ready","Review and inform supplier","")</x:f>
      </x:c>
      <x:c r="Y90" s="217" t="str">
        <x:f>IF(AND($B90="",$E90="",$I90=""),"",IF($B90="","Missing Assignment Number",IF($E90="","Select Job Title",IF($I90="","Enter Pay Rate",IF($S90="","Job Title not found","Ready")))))</x:f>
      </x:c>
    </x:row>
    <x:row r="91" ht="22" customHeight="1">
      <x:c r="A91" s="205"/>
      <x:c r="B91" s="205"/>
      <x:c r="C91" s="206"/>
      <x:c r="D91" s="205"/>
      <x:c r="E91" s="207"/>
      <x:c r="F91" s="208"/>
      <x:c r="G91" s="209" t="str">
        <x:f>IF($S91="","",IFERROR(VLOOKUP($S91,'Data'!$D$2:$G$14,3,FALSE),""))</x:f>
      </x:c>
      <x:c r="H91" s="210" t="str">
        <x:f>IF($G91="","",$G91/'Data'!$O$2/'Data'!$O$3)</x:f>
      </x:c>
      <x:c r="I91" s="211"/>
      <x:c r="J91" s="209" t="str">
        <x:f>IF(OR($E91="",$I91=""),"",$I91*'Data'!$O$2*'Data'!$O$3)</x:f>
      </x:c>
      <x:c r="K91" s="212" t="str">
        <x:f>IF(OR($J91="",$G91=""),"",$J91/$G91)</x:f>
      </x:c>
      <x:c r="L91" s="213" t="str">
        <x:f>IF($K91="","",VLOOKUP($K91,'Data'!$I$2:$L$6,3,TRUE))</x:f>
      </x:c>
      <x:c r="M91" s="210" t="str">
        <x:f>IF($L91="","",$I91*$L91)</x:f>
      </x:c>
      <x:c r="N91" s="214" t="str">
        <x:f>IF($M91="","",ROUNDDOWN($I91+$M91,2))</x:f>
      </x:c>
      <x:c r="O91" s="210" t="str">
        <x:f>IF($N91="","",ROUNDDOWN(ROUNDDOWN($N91,2)*$R91,3))</x:f>
      </x:c>
      <x:c r="P91" s="215"/>
      <x:c r="Q91" s="222" t="str">
        <x:f>IF($E91="","",IF(OR(RIGHT(UPPER(TRIM(SUBSTITUTE(CLEAN($E91),CHAR(160)," "))),2)="P1",RIGHT(UPPER(TRIM(SUBSTITUTE(CLEAN($E91),CHAR(160)," "))),2)="P2",RIGHT(UPPER(TRIM(SUBSTITUTE(CLEAN($E91),CHAR(160)," "))),2)="P3",RIGHT(UPPER(TRIM(SUBSTITUTE(CLEAN($E91),CHAR(160)," "))),2)="P4",ISNUMBER(SEARCH("INDUSTRIAL HYGIENIST 1 ENVIRONMENT",UPPER(TRIM(SUBSTITUTE(CLEAN($E91),CHAR(160)," ")))))),"PS","GS"))</x:f>
      </x:c>
      <x:c r="R91" s="223" t="str">
        <x:f>IF($Q91="","",IF($Q91="PS",'Data'!$O$5,'Data'!$O$4))</x:f>
      </x:c>
      <x:c r="S91" s="224" t="str">
        <x:f>IF($E91="","",IFERROR(VLOOKUP($E91,'Data'!$A$2:$B$114,2,FALSE),""))</x:f>
      </x:c>
      <x:c r="T91" s="217" t="str">
        <x:f>IF($K91="","",VLOOKUP($K91,'Data'!$I$2:$L$6,2,TRUE))</x:f>
      </x:c>
      <x:c r="U91" s="217"/>
      <x:c r="V91" s="221" t="str">
        <x:f>IF($L91="","",$J91*$L91)</x:f>
      </x:c>
      <x:c r="W91" s="221" t="str">
        <x:f>IF($V91="","",$J91+$V91)</x:f>
      </x:c>
      <x:c r="X91" s="217" t="str">
        <x:f>IF($Y91="Ready","Review and inform supplier","")</x:f>
      </x:c>
      <x:c r="Y91" s="217" t="str">
        <x:f>IF(AND($B91="",$E91="",$I91=""),"",IF($B91="","Missing Assignment Number",IF($E91="","Select Job Title",IF($I91="","Enter Pay Rate",IF($S91="","Job Title not found","Ready")))))</x:f>
      </x:c>
    </x:row>
    <x:row r="92" ht="22" customHeight="1">
      <x:c r="A92" s="205"/>
      <x:c r="B92" s="205"/>
      <x:c r="C92" s="206"/>
      <x:c r="D92" s="205"/>
      <x:c r="E92" s="207"/>
      <x:c r="F92" s="208"/>
      <x:c r="G92" s="209" t="str">
        <x:f>IF($S92="","",IFERROR(VLOOKUP($S92,'Data'!$D$2:$G$14,3,FALSE),""))</x:f>
      </x:c>
      <x:c r="H92" s="210" t="str">
        <x:f>IF($G92="","",$G92/'Data'!$O$2/'Data'!$O$3)</x:f>
      </x:c>
      <x:c r="I92" s="211"/>
      <x:c r="J92" s="209" t="str">
        <x:f>IF(OR($E92="",$I92=""),"",$I92*'Data'!$O$2*'Data'!$O$3)</x:f>
      </x:c>
      <x:c r="K92" s="212" t="str">
        <x:f>IF(OR($J92="",$G92=""),"",$J92/$G92)</x:f>
      </x:c>
      <x:c r="L92" s="213" t="str">
        <x:f>IF($K92="","",VLOOKUP($K92,'Data'!$I$2:$L$6,3,TRUE))</x:f>
      </x:c>
      <x:c r="M92" s="210" t="str">
        <x:f>IF($L92="","",$I92*$L92)</x:f>
      </x:c>
      <x:c r="N92" s="214" t="str">
        <x:f>IF($M92="","",ROUNDDOWN($I92+$M92,2))</x:f>
      </x:c>
      <x:c r="O92" s="210" t="str">
        <x:f>IF($N92="","",ROUNDDOWN(ROUNDDOWN($N92,2)*$R92,3))</x:f>
      </x:c>
      <x:c r="P92" s="215"/>
      <x:c r="Q92" s="222" t="str">
        <x:f>IF($E92="","",IF(OR(RIGHT(UPPER(TRIM(SUBSTITUTE(CLEAN($E92),CHAR(160)," "))),2)="P1",RIGHT(UPPER(TRIM(SUBSTITUTE(CLEAN($E92),CHAR(160)," "))),2)="P2",RIGHT(UPPER(TRIM(SUBSTITUTE(CLEAN($E92),CHAR(160)," "))),2)="P3",RIGHT(UPPER(TRIM(SUBSTITUTE(CLEAN($E92),CHAR(160)," "))),2)="P4",ISNUMBER(SEARCH("INDUSTRIAL HYGIENIST 1 ENVIRONMENT",UPPER(TRIM(SUBSTITUTE(CLEAN($E92),CHAR(160)," ")))))),"PS","GS"))</x:f>
      </x:c>
      <x:c r="R92" s="223" t="str">
        <x:f>IF($Q92="","",IF($Q92="PS",'Data'!$O$5,'Data'!$O$4))</x:f>
      </x:c>
      <x:c r="S92" s="224" t="str">
        <x:f>IF($E92="","",IFERROR(VLOOKUP($E92,'Data'!$A$2:$B$114,2,FALSE),""))</x:f>
      </x:c>
      <x:c r="T92" s="217" t="str">
        <x:f>IF($K92="","",VLOOKUP($K92,'Data'!$I$2:$L$6,2,TRUE))</x:f>
      </x:c>
      <x:c r="U92" s="217"/>
      <x:c r="V92" s="221" t="str">
        <x:f>IF($L92="","",$J92*$L92)</x:f>
      </x:c>
      <x:c r="W92" s="221" t="str">
        <x:f>IF($V92="","",$J92+$V92)</x:f>
      </x:c>
      <x:c r="X92" s="217" t="str">
        <x:f>IF($Y92="Ready","Review and inform supplier","")</x:f>
      </x:c>
      <x:c r="Y92" s="217" t="str">
        <x:f>IF(AND($B92="",$E92="",$I92=""),"",IF($B92="","Missing Assignment Number",IF($E92="","Select Job Title",IF($I92="","Enter Pay Rate",IF($S92="","Job Title not found","Ready")))))</x:f>
      </x:c>
    </x:row>
    <x:row r="93" ht="22" customHeight="1">
      <x:c r="A93" s="205"/>
      <x:c r="B93" s="205"/>
      <x:c r="C93" s="206"/>
      <x:c r="D93" s="205"/>
      <x:c r="E93" s="207"/>
      <x:c r="F93" s="208"/>
      <x:c r="G93" s="209" t="str">
        <x:f>IF($S93="","",IFERROR(VLOOKUP($S93,'Data'!$D$2:$G$14,3,FALSE),""))</x:f>
      </x:c>
      <x:c r="H93" s="210" t="str">
        <x:f>IF($G93="","",$G93/'Data'!$O$2/'Data'!$O$3)</x:f>
      </x:c>
      <x:c r="I93" s="211"/>
      <x:c r="J93" s="209" t="str">
        <x:f>IF(OR($E93="",$I93=""),"",$I93*'Data'!$O$2*'Data'!$O$3)</x:f>
      </x:c>
      <x:c r="K93" s="212" t="str">
        <x:f>IF(OR($J93="",$G93=""),"",$J93/$G93)</x:f>
      </x:c>
      <x:c r="L93" s="213" t="str">
        <x:f>IF($K93="","",VLOOKUP($K93,'Data'!$I$2:$L$6,3,TRUE))</x:f>
      </x:c>
      <x:c r="M93" s="210" t="str">
        <x:f>IF($L93="","",$I93*$L93)</x:f>
      </x:c>
      <x:c r="N93" s="214" t="str">
        <x:f>IF($M93="","",ROUNDDOWN($I93+$M93,2))</x:f>
      </x:c>
      <x:c r="O93" s="210" t="str">
        <x:f>IF($N93="","",ROUNDDOWN(ROUNDDOWN($N93,2)*$R93,3))</x:f>
      </x:c>
      <x:c r="P93" s="215"/>
      <x:c r="Q93" s="222" t="str">
        <x:f>IF($E93="","",IF(OR(RIGHT(UPPER(TRIM(SUBSTITUTE(CLEAN($E93),CHAR(160)," "))),2)="P1",RIGHT(UPPER(TRIM(SUBSTITUTE(CLEAN($E93),CHAR(160)," "))),2)="P2",RIGHT(UPPER(TRIM(SUBSTITUTE(CLEAN($E93),CHAR(160)," "))),2)="P3",RIGHT(UPPER(TRIM(SUBSTITUTE(CLEAN($E93),CHAR(160)," "))),2)="P4",ISNUMBER(SEARCH("INDUSTRIAL HYGIENIST 1 ENVIRONMENT",UPPER(TRIM(SUBSTITUTE(CLEAN($E93),CHAR(160)," ")))))),"PS","GS"))</x:f>
      </x:c>
      <x:c r="R93" s="223" t="str">
        <x:f>IF($Q93="","",IF($Q93="PS",'Data'!$O$5,'Data'!$O$4))</x:f>
      </x:c>
      <x:c r="S93" s="224" t="str">
        <x:f>IF($E93="","",IFERROR(VLOOKUP($E93,'Data'!$A$2:$B$114,2,FALSE),""))</x:f>
      </x:c>
      <x:c r="T93" s="217" t="str">
        <x:f>IF($K93="","",VLOOKUP($K93,'Data'!$I$2:$L$6,2,TRUE))</x:f>
      </x:c>
      <x:c r="U93" s="217"/>
      <x:c r="V93" s="221" t="str">
        <x:f>IF($L93="","",$J93*$L93)</x:f>
      </x:c>
      <x:c r="W93" s="221" t="str">
        <x:f>IF($V93="","",$J93+$V93)</x:f>
      </x:c>
      <x:c r="X93" s="217" t="str">
        <x:f>IF($Y93="Ready","Review and inform supplier","")</x:f>
      </x:c>
      <x:c r="Y93" s="217" t="str">
        <x:f>IF(AND($B93="",$E93="",$I93=""),"",IF($B93="","Missing Assignment Number",IF($E93="","Select Job Title",IF($I93="","Enter Pay Rate",IF($S93="","Job Title not found","Ready")))))</x:f>
      </x:c>
    </x:row>
    <x:row r="94" ht="22" customHeight="1">
      <x:c r="A94" s="205"/>
      <x:c r="B94" s="205"/>
      <x:c r="C94" s="206"/>
      <x:c r="D94" s="205"/>
      <x:c r="E94" s="207"/>
      <x:c r="F94" s="208"/>
      <x:c r="G94" s="209" t="str">
        <x:f>IF($S94="","",IFERROR(VLOOKUP($S94,'Data'!$D$2:$G$14,3,FALSE),""))</x:f>
      </x:c>
      <x:c r="H94" s="210" t="str">
        <x:f>IF($G94="","",$G94/'Data'!$O$2/'Data'!$O$3)</x:f>
      </x:c>
      <x:c r="I94" s="211"/>
      <x:c r="J94" s="209" t="str">
        <x:f>IF(OR($E94="",$I94=""),"",$I94*'Data'!$O$2*'Data'!$O$3)</x:f>
      </x:c>
      <x:c r="K94" s="212" t="str">
        <x:f>IF(OR($J94="",$G94=""),"",$J94/$G94)</x:f>
      </x:c>
      <x:c r="L94" s="213" t="str">
        <x:f>IF($K94="","",VLOOKUP($K94,'Data'!$I$2:$L$6,3,TRUE))</x:f>
      </x:c>
      <x:c r="M94" s="210" t="str">
        <x:f>IF($L94="","",$I94*$L94)</x:f>
      </x:c>
      <x:c r="N94" s="214" t="str">
        <x:f>IF($M94="","",ROUNDDOWN($I94+$M94,2))</x:f>
      </x:c>
      <x:c r="O94" s="210" t="str">
        <x:f>IF($N94="","",ROUNDDOWN(ROUNDDOWN($N94,2)*$R94,3))</x:f>
      </x:c>
      <x:c r="P94" s="215"/>
      <x:c r="Q94" s="222" t="str">
        <x:f>IF($E94="","",IF(OR(RIGHT(UPPER(TRIM(SUBSTITUTE(CLEAN($E94),CHAR(160)," "))),2)="P1",RIGHT(UPPER(TRIM(SUBSTITUTE(CLEAN($E94),CHAR(160)," "))),2)="P2",RIGHT(UPPER(TRIM(SUBSTITUTE(CLEAN($E94),CHAR(160)," "))),2)="P3",RIGHT(UPPER(TRIM(SUBSTITUTE(CLEAN($E94),CHAR(160)," "))),2)="P4",ISNUMBER(SEARCH("INDUSTRIAL HYGIENIST 1 ENVIRONMENT",UPPER(TRIM(SUBSTITUTE(CLEAN($E94),CHAR(160)," ")))))),"PS","GS"))</x:f>
      </x:c>
      <x:c r="R94" s="223" t="str">
        <x:f>IF($Q94="","",IF($Q94="PS",'Data'!$O$5,'Data'!$O$4))</x:f>
      </x:c>
      <x:c r="S94" s="224" t="str">
        <x:f>IF($E94="","",IFERROR(VLOOKUP($E94,'Data'!$A$2:$B$114,2,FALSE),""))</x:f>
      </x:c>
      <x:c r="T94" s="217" t="str">
        <x:f>IF($K94="","",VLOOKUP($K94,'Data'!$I$2:$L$6,2,TRUE))</x:f>
      </x:c>
      <x:c r="U94" s="217"/>
      <x:c r="V94" s="221" t="str">
        <x:f>IF($L94="","",$J94*$L94)</x:f>
      </x:c>
      <x:c r="W94" s="221" t="str">
        <x:f>IF($V94="","",$J94+$V94)</x:f>
      </x:c>
      <x:c r="X94" s="217" t="str">
        <x:f>IF($Y94="Ready","Review and inform supplier","")</x:f>
      </x:c>
      <x:c r="Y94" s="217" t="str">
        <x:f>IF(AND($B94="",$E94="",$I94=""),"",IF($B94="","Missing Assignment Number",IF($E94="","Select Job Title",IF($I94="","Enter Pay Rate",IF($S94="","Job Title not found","Ready")))))</x:f>
      </x:c>
    </x:row>
    <x:row r="95" ht="22" customHeight="1">
      <x:c r="A95" s="205"/>
      <x:c r="B95" s="205"/>
      <x:c r="C95" s="206"/>
      <x:c r="D95" s="205"/>
      <x:c r="E95" s="207"/>
      <x:c r="F95" s="208"/>
      <x:c r="G95" s="209" t="str">
        <x:f>IF($S95="","",IFERROR(VLOOKUP($S95,'Data'!$D$2:$G$14,3,FALSE),""))</x:f>
      </x:c>
      <x:c r="H95" s="210" t="str">
        <x:f>IF($G95="","",$G95/'Data'!$O$2/'Data'!$O$3)</x:f>
      </x:c>
      <x:c r="I95" s="211"/>
      <x:c r="J95" s="209" t="str">
        <x:f>IF(OR($E95="",$I95=""),"",$I95*'Data'!$O$2*'Data'!$O$3)</x:f>
      </x:c>
      <x:c r="K95" s="212" t="str">
        <x:f>IF(OR($J95="",$G95=""),"",$J95/$G95)</x:f>
      </x:c>
      <x:c r="L95" s="213" t="str">
        <x:f>IF($K95="","",VLOOKUP($K95,'Data'!$I$2:$L$6,3,TRUE))</x:f>
      </x:c>
      <x:c r="M95" s="210" t="str">
        <x:f>IF($L95="","",$I95*$L95)</x:f>
      </x:c>
      <x:c r="N95" s="214" t="str">
        <x:f>IF($M95="","",ROUNDDOWN($I95+$M95,2))</x:f>
      </x:c>
      <x:c r="O95" s="210" t="str">
        <x:f>IF($N95="","",ROUNDDOWN(ROUNDDOWN($N95,2)*$R95,3))</x:f>
      </x:c>
      <x:c r="P95" s="215"/>
      <x:c r="Q95" s="222" t="str">
        <x:f>IF($E95="","",IF(OR(RIGHT(UPPER(TRIM(SUBSTITUTE(CLEAN($E95),CHAR(160)," "))),2)="P1",RIGHT(UPPER(TRIM(SUBSTITUTE(CLEAN($E95),CHAR(160)," "))),2)="P2",RIGHT(UPPER(TRIM(SUBSTITUTE(CLEAN($E95),CHAR(160)," "))),2)="P3",RIGHT(UPPER(TRIM(SUBSTITUTE(CLEAN($E95),CHAR(160)," "))),2)="P4",ISNUMBER(SEARCH("INDUSTRIAL HYGIENIST 1 ENVIRONMENT",UPPER(TRIM(SUBSTITUTE(CLEAN($E95),CHAR(160)," ")))))),"PS","GS"))</x:f>
      </x:c>
      <x:c r="R95" s="223" t="str">
        <x:f>IF($Q95="","",IF($Q95="PS",'Data'!$O$5,'Data'!$O$4))</x:f>
      </x:c>
      <x:c r="S95" s="224" t="str">
        <x:f>IF($E95="","",IFERROR(VLOOKUP($E95,'Data'!$A$2:$B$114,2,FALSE),""))</x:f>
      </x:c>
      <x:c r="T95" s="217" t="str">
        <x:f>IF($K95="","",VLOOKUP($K95,'Data'!$I$2:$L$6,2,TRUE))</x:f>
      </x:c>
      <x:c r="U95" s="217"/>
      <x:c r="V95" s="221" t="str">
        <x:f>IF($L95="","",$J95*$L95)</x:f>
      </x:c>
      <x:c r="W95" s="221" t="str">
        <x:f>IF($V95="","",$J95+$V95)</x:f>
      </x:c>
      <x:c r="X95" s="217" t="str">
        <x:f>IF($Y95="Ready","Review and inform supplier","")</x:f>
      </x:c>
      <x:c r="Y95" s="217" t="str">
        <x:f>IF(AND($B95="",$E95="",$I95=""),"",IF($B95="","Missing Assignment Number",IF($E95="","Select Job Title",IF($I95="","Enter Pay Rate",IF($S95="","Job Title not found","Ready")))))</x:f>
      </x:c>
    </x:row>
    <x:row r="96" ht="22" customHeight="1">
      <x:c r="A96" s="205"/>
      <x:c r="B96" s="205"/>
      <x:c r="C96" s="206"/>
      <x:c r="D96" s="205"/>
      <x:c r="E96" s="207"/>
      <x:c r="F96" s="208"/>
      <x:c r="G96" s="209" t="str">
        <x:f>IF($S96="","",IFERROR(VLOOKUP($S96,'Data'!$D$2:$G$14,3,FALSE),""))</x:f>
      </x:c>
      <x:c r="H96" s="210" t="str">
        <x:f>IF($G96="","",$G96/'Data'!$O$2/'Data'!$O$3)</x:f>
      </x:c>
      <x:c r="I96" s="211"/>
      <x:c r="J96" s="209" t="str">
        <x:f>IF(OR($E96="",$I96=""),"",$I96*'Data'!$O$2*'Data'!$O$3)</x:f>
      </x:c>
      <x:c r="K96" s="212" t="str">
        <x:f>IF(OR($J96="",$G96=""),"",$J96/$G96)</x:f>
      </x:c>
      <x:c r="L96" s="213" t="str">
        <x:f>IF($K96="","",VLOOKUP($K96,'Data'!$I$2:$L$6,3,TRUE))</x:f>
      </x:c>
      <x:c r="M96" s="210" t="str">
        <x:f>IF($L96="","",$I96*$L96)</x:f>
      </x:c>
      <x:c r="N96" s="214" t="str">
        <x:f>IF($M96="","",ROUNDDOWN($I96+$M96,2))</x:f>
      </x:c>
      <x:c r="O96" s="210" t="str">
        <x:f>IF($N96="","",ROUNDDOWN(ROUNDDOWN($N96,2)*$R96,3))</x:f>
      </x:c>
      <x:c r="P96" s="215"/>
      <x:c r="Q96" s="222" t="str">
        <x:f>IF($E96="","",IF(OR(RIGHT(UPPER(TRIM(SUBSTITUTE(CLEAN($E96),CHAR(160)," "))),2)="P1",RIGHT(UPPER(TRIM(SUBSTITUTE(CLEAN($E96),CHAR(160)," "))),2)="P2",RIGHT(UPPER(TRIM(SUBSTITUTE(CLEAN($E96),CHAR(160)," "))),2)="P3",RIGHT(UPPER(TRIM(SUBSTITUTE(CLEAN($E96),CHAR(160)," "))),2)="P4",ISNUMBER(SEARCH("INDUSTRIAL HYGIENIST 1 ENVIRONMENT",UPPER(TRIM(SUBSTITUTE(CLEAN($E96),CHAR(160)," ")))))),"PS","GS"))</x:f>
      </x:c>
      <x:c r="R96" s="223" t="str">
        <x:f>IF($Q96="","",IF($Q96="PS",'Data'!$O$5,'Data'!$O$4))</x:f>
      </x:c>
      <x:c r="S96" s="224" t="str">
        <x:f>IF($E96="","",IFERROR(VLOOKUP($E96,'Data'!$A$2:$B$114,2,FALSE),""))</x:f>
      </x:c>
      <x:c r="T96" s="217" t="str">
        <x:f>IF($K96="","",VLOOKUP($K96,'Data'!$I$2:$L$6,2,TRUE))</x:f>
      </x:c>
      <x:c r="U96" s="217"/>
      <x:c r="V96" s="221" t="str">
        <x:f>IF($L96="","",$J96*$L96)</x:f>
      </x:c>
      <x:c r="W96" s="221" t="str">
        <x:f>IF($V96="","",$J96+$V96)</x:f>
      </x:c>
      <x:c r="X96" s="217" t="str">
        <x:f>IF($Y96="Ready","Review and inform supplier","")</x:f>
      </x:c>
      <x:c r="Y96" s="217" t="str">
        <x:f>IF(AND($B96="",$E96="",$I96=""),"",IF($B96="","Missing Assignment Number",IF($E96="","Select Job Title",IF($I96="","Enter Pay Rate",IF($S96="","Job Title not found","Ready")))))</x:f>
      </x:c>
    </x:row>
    <x:row r="97" ht="22" customHeight="1">
      <x:c r="A97" s="205"/>
      <x:c r="B97" s="205"/>
      <x:c r="C97" s="206"/>
      <x:c r="D97" s="205"/>
      <x:c r="E97" s="207"/>
      <x:c r="F97" s="208"/>
      <x:c r="G97" s="209" t="str">
        <x:f>IF($S97="","",IFERROR(VLOOKUP($S97,'Data'!$D$2:$G$14,3,FALSE),""))</x:f>
      </x:c>
      <x:c r="H97" s="210" t="str">
        <x:f>IF($G97="","",$G97/'Data'!$O$2/'Data'!$O$3)</x:f>
      </x:c>
      <x:c r="I97" s="211"/>
      <x:c r="J97" s="209" t="str">
        <x:f>IF(OR($E97="",$I97=""),"",$I97*'Data'!$O$2*'Data'!$O$3)</x:f>
      </x:c>
      <x:c r="K97" s="212" t="str">
        <x:f>IF(OR($J97="",$G97=""),"",$J97/$G97)</x:f>
      </x:c>
      <x:c r="L97" s="213" t="str">
        <x:f>IF($K97="","",VLOOKUP($K97,'Data'!$I$2:$L$6,3,TRUE))</x:f>
      </x:c>
      <x:c r="M97" s="210" t="str">
        <x:f>IF($L97="","",$I97*$L97)</x:f>
      </x:c>
      <x:c r="N97" s="214" t="str">
        <x:f>IF($M97="","",ROUNDDOWN($I97+$M97,2))</x:f>
      </x:c>
      <x:c r="O97" s="210" t="str">
        <x:f>IF($N97="","",ROUNDDOWN(ROUNDDOWN($N97,2)*$R97,3))</x:f>
      </x:c>
      <x:c r="P97" s="215"/>
      <x:c r="Q97" s="222" t="str">
        <x:f>IF($E97="","",IF(OR(RIGHT(UPPER(TRIM(SUBSTITUTE(CLEAN($E97),CHAR(160)," "))),2)="P1",RIGHT(UPPER(TRIM(SUBSTITUTE(CLEAN($E97),CHAR(160)," "))),2)="P2",RIGHT(UPPER(TRIM(SUBSTITUTE(CLEAN($E97),CHAR(160)," "))),2)="P3",RIGHT(UPPER(TRIM(SUBSTITUTE(CLEAN($E97),CHAR(160)," "))),2)="P4",ISNUMBER(SEARCH("INDUSTRIAL HYGIENIST 1 ENVIRONMENT",UPPER(TRIM(SUBSTITUTE(CLEAN($E97),CHAR(160)," ")))))),"PS","GS"))</x:f>
      </x:c>
      <x:c r="R97" s="223" t="str">
        <x:f>IF($Q97="","",IF($Q97="PS",'Data'!$O$5,'Data'!$O$4))</x:f>
      </x:c>
      <x:c r="S97" s="224" t="str">
        <x:f>IF($E97="","",IFERROR(VLOOKUP($E97,'Data'!$A$2:$B$114,2,FALSE),""))</x:f>
      </x:c>
      <x:c r="T97" s="217" t="str">
        <x:f>IF($K97="","",VLOOKUP($K97,'Data'!$I$2:$L$6,2,TRUE))</x:f>
      </x:c>
      <x:c r="U97" s="217"/>
      <x:c r="V97" s="221" t="str">
        <x:f>IF($L97="","",$J97*$L97)</x:f>
      </x:c>
      <x:c r="W97" s="221" t="str">
        <x:f>IF($V97="","",$J97+$V97)</x:f>
      </x:c>
      <x:c r="X97" s="217" t="str">
        <x:f>IF($Y97="Ready","Review and inform supplier","")</x:f>
      </x:c>
      <x:c r="Y97" s="217" t="str">
        <x:f>IF(AND($B97="",$E97="",$I97=""),"",IF($B97="","Missing Assignment Number",IF($E97="","Select Job Title",IF($I97="","Enter Pay Rate",IF($S97="","Job Title not found","Ready")))))</x:f>
      </x:c>
    </x:row>
    <x:row r="98" ht="22" customHeight="1">
      <x:c r="A98" s="205"/>
      <x:c r="B98" s="205"/>
      <x:c r="C98" s="206"/>
      <x:c r="D98" s="205"/>
      <x:c r="E98" s="207"/>
      <x:c r="F98" s="208"/>
      <x:c r="G98" s="209" t="str">
        <x:f>IF($S98="","",IFERROR(VLOOKUP($S98,'Data'!$D$2:$G$14,3,FALSE),""))</x:f>
      </x:c>
      <x:c r="H98" s="210" t="str">
        <x:f>IF($G98="","",$G98/'Data'!$O$2/'Data'!$O$3)</x:f>
      </x:c>
      <x:c r="I98" s="211"/>
      <x:c r="J98" s="209" t="str">
        <x:f>IF(OR($E98="",$I98=""),"",$I98*'Data'!$O$2*'Data'!$O$3)</x:f>
      </x:c>
      <x:c r="K98" s="212" t="str">
        <x:f>IF(OR($J98="",$G98=""),"",$J98/$G98)</x:f>
      </x:c>
      <x:c r="L98" s="213" t="str">
        <x:f>IF($K98="","",VLOOKUP($K98,'Data'!$I$2:$L$6,3,TRUE))</x:f>
      </x:c>
      <x:c r="M98" s="210" t="str">
        <x:f>IF($L98="","",$I98*$L98)</x:f>
      </x:c>
      <x:c r="N98" s="214" t="str">
        <x:f>IF($M98="","",ROUNDDOWN($I98+$M98,2))</x:f>
      </x:c>
      <x:c r="O98" s="210" t="str">
        <x:f>IF($N98="","",ROUNDDOWN(ROUNDDOWN($N98,2)*$R98,3))</x:f>
      </x:c>
      <x:c r="P98" s="215"/>
      <x:c r="Q98" s="222" t="str">
        <x:f>IF($E98="","",IF(OR(RIGHT(UPPER(TRIM(SUBSTITUTE(CLEAN($E98),CHAR(160)," "))),2)="P1",RIGHT(UPPER(TRIM(SUBSTITUTE(CLEAN($E98),CHAR(160)," "))),2)="P2",RIGHT(UPPER(TRIM(SUBSTITUTE(CLEAN($E98),CHAR(160)," "))),2)="P3",RIGHT(UPPER(TRIM(SUBSTITUTE(CLEAN($E98),CHAR(160)," "))),2)="P4",ISNUMBER(SEARCH("INDUSTRIAL HYGIENIST 1 ENVIRONMENT",UPPER(TRIM(SUBSTITUTE(CLEAN($E98),CHAR(160)," ")))))),"PS","GS"))</x:f>
      </x:c>
      <x:c r="R98" s="223" t="str">
        <x:f>IF($Q98="","",IF($Q98="PS",'Data'!$O$5,'Data'!$O$4))</x:f>
      </x:c>
      <x:c r="S98" s="224" t="str">
        <x:f>IF($E98="","",IFERROR(VLOOKUP($E98,'Data'!$A$2:$B$114,2,FALSE),""))</x:f>
      </x:c>
      <x:c r="T98" s="217" t="str">
        <x:f>IF($K98="","",VLOOKUP($K98,'Data'!$I$2:$L$6,2,TRUE))</x:f>
      </x:c>
      <x:c r="U98" s="217"/>
      <x:c r="V98" s="221" t="str">
        <x:f>IF($L98="","",$J98*$L98)</x:f>
      </x:c>
      <x:c r="W98" s="221" t="str">
        <x:f>IF($V98="","",$J98+$V98)</x:f>
      </x:c>
      <x:c r="X98" s="217" t="str">
        <x:f>IF($Y98="Ready","Review and inform supplier","")</x:f>
      </x:c>
      <x:c r="Y98" s="217" t="str">
        <x:f>IF(AND($B98="",$E98="",$I98=""),"",IF($B98="","Missing Assignment Number",IF($E98="","Select Job Title",IF($I98="","Enter Pay Rate",IF($S98="","Job Title not found","Ready")))))</x:f>
      </x:c>
    </x:row>
    <x:row r="99" ht="22" customHeight="1">
      <x:c r="A99" s="205"/>
      <x:c r="B99" s="205"/>
      <x:c r="C99" s="206"/>
      <x:c r="D99" s="205"/>
      <x:c r="E99" s="207"/>
      <x:c r="F99" s="208"/>
      <x:c r="G99" s="209" t="str">
        <x:f>IF($S99="","",IFERROR(VLOOKUP($S99,'Data'!$D$2:$G$14,3,FALSE),""))</x:f>
      </x:c>
      <x:c r="H99" s="210" t="str">
        <x:f>IF($G99="","",$G99/'Data'!$O$2/'Data'!$O$3)</x:f>
      </x:c>
      <x:c r="I99" s="211"/>
      <x:c r="J99" s="209" t="str">
        <x:f>IF(OR($E99="",$I99=""),"",$I99*'Data'!$O$2*'Data'!$O$3)</x:f>
      </x:c>
      <x:c r="K99" s="212" t="str">
        <x:f>IF(OR($J99="",$G99=""),"",$J99/$G99)</x:f>
      </x:c>
      <x:c r="L99" s="213" t="str">
        <x:f>IF($K99="","",VLOOKUP($K99,'Data'!$I$2:$L$6,3,TRUE))</x:f>
      </x:c>
      <x:c r="M99" s="210" t="str">
        <x:f>IF($L99="","",$I99*$L99)</x:f>
      </x:c>
      <x:c r="N99" s="214" t="str">
        <x:f>IF($M99="","",ROUNDDOWN($I99+$M99,2))</x:f>
      </x:c>
      <x:c r="O99" s="210" t="str">
        <x:f>IF($N99="","",ROUNDDOWN(ROUNDDOWN($N99,2)*$R99,3))</x:f>
      </x:c>
      <x:c r="P99" s="215"/>
      <x:c r="Q99" s="222" t="str">
        <x:f>IF($E99="","",IF(OR(RIGHT(UPPER(TRIM(SUBSTITUTE(CLEAN($E99),CHAR(160)," "))),2)="P1",RIGHT(UPPER(TRIM(SUBSTITUTE(CLEAN($E99),CHAR(160)," "))),2)="P2",RIGHT(UPPER(TRIM(SUBSTITUTE(CLEAN($E99),CHAR(160)," "))),2)="P3",RIGHT(UPPER(TRIM(SUBSTITUTE(CLEAN($E99),CHAR(160)," "))),2)="P4",ISNUMBER(SEARCH("INDUSTRIAL HYGIENIST 1 ENVIRONMENT",UPPER(TRIM(SUBSTITUTE(CLEAN($E99),CHAR(160)," ")))))),"PS","GS"))</x:f>
      </x:c>
      <x:c r="R99" s="223" t="str">
        <x:f>IF($Q99="","",IF($Q99="PS",'Data'!$O$5,'Data'!$O$4))</x:f>
      </x:c>
      <x:c r="S99" s="224" t="str">
        <x:f>IF($E99="","",IFERROR(VLOOKUP($E99,'Data'!$A$2:$B$114,2,FALSE),""))</x:f>
      </x:c>
      <x:c r="T99" s="217" t="str">
        <x:f>IF($K99="","",VLOOKUP($K99,'Data'!$I$2:$L$6,2,TRUE))</x:f>
      </x:c>
      <x:c r="U99" s="217"/>
      <x:c r="V99" s="221" t="str">
        <x:f>IF($L99="","",$J99*$L99)</x:f>
      </x:c>
      <x:c r="W99" s="221" t="str">
        <x:f>IF($V99="","",$J99+$V99)</x:f>
      </x:c>
      <x:c r="X99" s="217" t="str">
        <x:f>IF($Y99="Ready","Review and inform supplier","")</x:f>
      </x:c>
      <x:c r="Y99" s="217" t="str">
        <x:f>IF(AND($B99="",$E99="",$I99=""),"",IF($B99="","Missing Assignment Number",IF($E99="","Select Job Title",IF($I99="","Enter Pay Rate",IF($S99="","Job Title not found","Ready")))))</x:f>
      </x:c>
    </x:row>
    <x:row r="100" ht="22" customHeight="1">
      <x:c r="A100" s="205"/>
      <x:c r="B100" s="205"/>
      <x:c r="C100" s="206"/>
      <x:c r="D100" s="205"/>
      <x:c r="E100" s="207"/>
      <x:c r="F100" s="208"/>
      <x:c r="G100" s="209" t="str">
        <x:f>IF($S100="","",IFERROR(VLOOKUP($S100,'Data'!$D$2:$G$14,3,FALSE),""))</x:f>
      </x:c>
      <x:c r="H100" s="210" t="str">
        <x:f>IF($G100="","",$G100/'Data'!$O$2/'Data'!$O$3)</x:f>
      </x:c>
      <x:c r="I100" s="211"/>
      <x:c r="J100" s="209" t="str">
        <x:f>IF(OR($E100="",$I100=""),"",$I100*'Data'!$O$2*'Data'!$O$3)</x:f>
      </x:c>
      <x:c r="K100" s="212" t="str">
        <x:f>IF(OR($J100="",$G100=""),"",$J100/$G100)</x:f>
      </x:c>
      <x:c r="L100" s="213" t="str">
        <x:f>IF($K100="","",VLOOKUP($K100,'Data'!$I$2:$L$6,3,TRUE))</x:f>
      </x:c>
      <x:c r="M100" s="210" t="str">
        <x:f>IF($L100="","",$I100*$L100)</x:f>
      </x:c>
      <x:c r="N100" s="214" t="str">
        <x:f>IF($M100="","",ROUNDDOWN($I100+$M100,2))</x:f>
      </x:c>
      <x:c r="O100" s="210" t="str">
        <x:f>IF($N100="","",ROUNDDOWN(ROUNDDOWN($N100,2)*$R100,3))</x:f>
      </x:c>
      <x:c r="P100" s="215"/>
      <x:c r="Q100" s="222" t="str">
        <x:f>IF($E100="","",IF(OR(RIGHT(UPPER(TRIM(SUBSTITUTE(CLEAN($E100),CHAR(160)," "))),2)="P1",RIGHT(UPPER(TRIM(SUBSTITUTE(CLEAN($E100),CHAR(160)," "))),2)="P2",RIGHT(UPPER(TRIM(SUBSTITUTE(CLEAN($E100),CHAR(160)," "))),2)="P3",RIGHT(UPPER(TRIM(SUBSTITUTE(CLEAN($E100),CHAR(160)," "))),2)="P4",ISNUMBER(SEARCH("INDUSTRIAL HYGIENIST 1 ENVIRONMENT",UPPER(TRIM(SUBSTITUTE(CLEAN($E100),CHAR(160)," ")))))),"PS","GS"))</x:f>
      </x:c>
      <x:c r="R100" s="223" t="str">
        <x:f>IF($Q100="","",IF($Q100="PS",'Data'!$O$5,'Data'!$O$4))</x:f>
      </x:c>
      <x:c r="S100" s="224" t="str">
        <x:f>IF($E100="","",IFERROR(VLOOKUP($E100,'Data'!$A$2:$B$114,2,FALSE),""))</x:f>
      </x:c>
      <x:c r="T100" s="217" t="str">
        <x:f>IF($K100="","",VLOOKUP($K100,'Data'!$I$2:$L$6,2,TRUE))</x:f>
      </x:c>
      <x:c r="U100" s="217"/>
      <x:c r="V100" s="221" t="str">
        <x:f>IF($L100="","",$J100*$L100)</x:f>
      </x:c>
      <x:c r="W100" s="221" t="str">
        <x:f>IF($V100="","",$J100+$V100)</x:f>
      </x:c>
      <x:c r="X100" s="217" t="str">
        <x:f>IF($Y100="Ready","Review and inform supplier","")</x:f>
      </x:c>
      <x:c r="Y100" s="217" t="str">
        <x:f>IF(AND($B100="",$E100="",$I100=""),"",IF($B100="","Missing Assignment Number",IF($E100="","Select Job Title",IF($I100="","Enter Pay Rate",IF($S100="","Job Title not found","Ready")))))</x:f>
      </x:c>
    </x:row>
    <x:row r="101" ht="22" customHeight="1">
      <x:c r="A101" s="205"/>
      <x:c r="B101" s="205"/>
      <x:c r="C101" s="206"/>
      <x:c r="D101" s="205"/>
      <x:c r="E101" s="207"/>
      <x:c r="F101" s="208"/>
      <x:c r="G101" s="209" t="str">
        <x:f>IF($S101="","",IFERROR(VLOOKUP($S101,'Data'!$D$2:$G$14,3,FALSE),""))</x:f>
      </x:c>
      <x:c r="H101" s="210" t="str">
        <x:f>IF($G101="","",$G101/'Data'!$O$2/'Data'!$O$3)</x:f>
      </x:c>
      <x:c r="I101" s="211"/>
      <x:c r="J101" s="209" t="str">
        <x:f>IF(OR($E101="",$I101=""),"",$I101*'Data'!$O$2*'Data'!$O$3)</x:f>
      </x:c>
      <x:c r="K101" s="212" t="str">
        <x:f>IF(OR($J101="",$G101=""),"",$J101/$G101)</x:f>
      </x:c>
      <x:c r="L101" s="213" t="str">
        <x:f>IF($K101="","",VLOOKUP($K101,'Data'!$I$2:$L$6,3,TRUE))</x:f>
      </x:c>
      <x:c r="M101" s="210" t="str">
        <x:f>IF($L101="","",$I101*$L101)</x:f>
      </x:c>
      <x:c r="N101" s="214" t="str">
        <x:f>IF($M101="","",ROUNDDOWN($I101+$M101,2))</x:f>
      </x:c>
      <x:c r="O101" s="210" t="str">
        <x:f>IF($N101="","",ROUNDDOWN(ROUNDDOWN($N101,2)*$R101,3))</x:f>
      </x:c>
      <x:c r="P101" s="215"/>
      <x:c r="Q101" s="222" t="str">
        <x:f>IF($E101="","",IF(OR(RIGHT(UPPER(TRIM(SUBSTITUTE(CLEAN($E101),CHAR(160)," "))),2)="P1",RIGHT(UPPER(TRIM(SUBSTITUTE(CLEAN($E101),CHAR(160)," "))),2)="P2",RIGHT(UPPER(TRIM(SUBSTITUTE(CLEAN($E101),CHAR(160)," "))),2)="P3",RIGHT(UPPER(TRIM(SUBSTITUTE(CLEAN($E101),CHAR(160)," "))),2)="P4",ISNUMBER(SEARCH("INDUSTRIAL HYGIENIST 1 ENVIRONMENT",UPPER(TRIM(SUBSTITUTE(CLEAN($E101),CHAR(160)," ")))))),"PS","GS"))</x:f>
      </x:c>
      <x:c r="R101" s="223" t="str">
        <x:f>IF($Q101="","",IF($Q101="PS",'Data'!$O$5,'Data'!$O$4))</x:f>
      </x:c>
      <x:c r="S101" s="224" t="str">
        <x:f>IF($E101="","",IFERROR(VLOOKUP($E101,'Data'!$A$2:$B$114,2,FALSE),""))</x:f>
      </x:c>
      <x:c r="T101" s="217" t="str">
        <x:f>IF($K101="","",VLOOKUP($K101,'Data'!$I$2:$L$6,2,TRUE))</x:f>
      </x:c>
      <x:c r="U101" s="217"/>
      <x:c r="V101" s="221" t="str">
        <x:f>IF($L101="","",$J101*$L101)</x:f>
      </x:c>
      <x:c r="W101" s="221" t="str">
        <x:f>IF($V101="","",$J101+$V101)</x:f>
      </x:c>
      <x:c r="X101" s="217" t="str">
        <x:f>IF($Y101="Ready","Review and inform supplier","")</x:f>
      </x:c>
      <x:c r="Y101" s="217" t="str">
        <x:f>IF(AND($B101="",$E101="",$I101=""),"",IF($B101="","Missing Assignment Number",IF($E101="","Select Job Title",IF($I101="","Enter Pay Rate",IF($S101="","Job Title not found","Ready")))))</x:f>
      </x:c>
    </x:row>
    <x:row r="102" ht="22" customHeight="1">
      <x:c r="A102" s="205"/>
      <x:c r="B102" s="205"/>
      <x:c r="C102" s="206"/>
      <x:c r="D102" s="205"/>
      <x:c r="E102" s="207"/>
      <x:c r="F102" s="208"/>
      <x:c r="G102" s="209" t="str">
        <x:f>IF($S102="","",IFERROR(VLOOKUP($S102,'Data'!$D$2:$G$14,3,FALSE),""))</x:f>
      </x:c>
      <x:c r="H102" s="210" t="str">
        <x:f>IF($G102="","",$G102/'Data'!$O$2/'Data'!$O$3)</x:f>
      </x:c>
      <x:c r="I102" s="211"/>
      <x:c r="J102" s="209" t="str">
        <x:f>IF(OR($E102="",$I102=""),"",$I102*'Data'!$O$2*'Data'!$O$3)</x:f>
      </x:c>
      <x:c r="K102" s="212" t="str">
        <x:f>IF(OR($J102="",$G102=""),"",$J102/$G102)</x:f>
      </x:c>
      <x:c r="L102" s="213" t="str">
        <x:f>IF($K102="","",VLOOKUP($K102,'Data'!$I$2:$L$6,3,TRUE))</x:f>
      </x:c>
      <x:c r="M102" s="210" t="str">
        <x:f>IF($L102="","",$I102*$L102)</x:f>
      </x:c>
      <x:c r="N102" s="214" t="str">
        <x:f>IF($M102="","",ROUNDDOWN($I102+$M102,2))</x:f>
      </x:c>
      <x:c r="O102" s="210" t="str">
        <x:f>IF($N102="","",ROUNDDOWN(ROUNDDOWN($N102,2)*$R102,3))</x:f>
      </x:c>
      <x:c r="P102" s="215"/>
      <x:c r="Q102" s="222" t="str">
        <x:f>IF($E102="","",IF(OR(RIGHT(UPPER(TRIM(SUBSTITUTE(CLEAN($E102),CHAR(160)," "))),2)="P1",RIGHT(UPPER(TRIM(SUBSTITUTE(CLEAN($E102),CHAR(160)," "))),2)="P2",RIGHT(UPPER(TRIM(SUBSTITUTE(CLEAN($E102),CHAR(160)," "))),2)="P3",RIGHT(UPPER(TRIM(SUBSTITUTE(CLEAN($E102),CHAR(160)," "))),2)="P4",ISNUMBER(SEARCH("INDUSTRIAL HYGIENIST 1 ENVIRONMENT",UPPER(TRIM(SUBSTITUTE(CLEAN($E102),CHAR(160)," ")))))),"PS","GS"))</x:f>
      </x:c>
      <x:c r="R102" s="223" t="str">
        <x:f>IF($Q102="","",IF($Q102="PS",'Data'!$O$5,'Data'!$O$4))</x:f>
      </x:c>
      <x:c r="S102" s="224" t="str">
        <x:f>IF($E102="","",IFERROR(VLOOKUP($E102,'Data'!$A$2:$B$114,2,FALSE),""))</x:f>
      </x:c>
      <x:c r="T102" s="217" t="str">
        <x:f>IF($K102="","",VLOOKUP($K102,'Data'!$I$2:$L$6,2,TRUE))</x:f>
      </x:c>
      <x:c r="U102" s="217"/>
      <x:c r="V102" s="221" t="str">
        <x:f>IF($L102="","",$J102*$L102)</x:f>
      </x:c>
      <x:c r="W102" s="221" t="str">
        <x:f>IF($V102="","",$J102+$V102)</x:f>
      </x:c>
      <x:c r="X102" s="217" t="str">
        <x:f>IF($Y102="Ready","Review and inform supplier","")</x:f>
      </x:c>
      <x:c r="Y102" s="217" t="str">
        <x:f>IF(AND($B102="",$E102="",$I102=""),"",IF($B102="","Missing Assignment Number",IF($E102="","Select Job Title",IF($I102="","Enter Pay Rate",IF($S102="","Job Title not found","Ready")))))</x:f>
      </x:c>
    </x:row>
    <x:row r="103" ht="22" customHeight="1">
      <x:c r="A103" s="205"/>
      <x:c r="B103" s="205"/>
      <x:c r="C103" s="206"/>
      <x:c r="D103" s="205"/>
      <x:c r="E103" s="207"/>
      <x:c r="F103" s="208"/>
      <x:c r="G103" s="209" t="str">
        <x:f>IF($S103="","",IFERROR(VLOOKUP($S103,'Data'!$D$2:$G$14,3,FALSE),""))</x:f>
      </x:c>
      <x:c r="H103" s="210" t="str">
        <x:f>IF($G103="","",$G103/'Data'!$O$2/'Data'!$O$3)</x:f>
      </x:c>
      <x:c r="I103" s="211"/>
      <x:c r="J103" s="209" t="str">
        <x:f>IF(OR($E103="",$I103=""),"",$I103*'Data'!$O$2*'Data'!$O$3)</x:f>
      </x:c>
      <x:c r="K103" s="212" t="str">
        <x:f>IF(OR($J103="",$G103=""),"",$J103/$G103)</x:f>
      </x:c>
      <x:c r="L103" s="213" t="str">
        <x:f>IF($K103="","",VLOOKUP($K103,'Data'!$I$2:$L$6,3,TRUE))</x:f>
      </x:c>
      <x:c r="M103" s="210" t="str">
        <x:f>IF($L103="","",$I103*$L103)</x:f>
      </x:c>
      <x:c r="N103" s="214" t="str">
        <x:f>IF($M103="","",ROUNDDOWN($I103+$M103,2))</x:f>
      </x:c>
      <x:c r="O103" s="210" t="str">
        <x:f>IF($N103="","",ROUNDDOWN(ROUNDDOWN($N103,2)*$R103,3))</x:f>
      </x:c>
      <x:c r="P103" s="215"/>
      <x:c r="Q103" s="222" t="str">
        <x:f>IF($E103="","",IF(OR(RIGHT(UPPER(TRIM(SUBSTITUTE(CLEAN($E103),CHAR(160)," "))),2)="P1",RIGHT(UPPER(TRIM(SUBSTITUTE(CLEAN($E103),CHAR(160)," "))),2)="P2",RIGHT(UPPER(TRIM(SUBSTITUTE(CLEAN($E103),CHAR(160)," "))),2)="P3",RIGHT(UPPER(TRIM(SUBSTITUTE(CLEAN($E103),CHAR(160)," "))),2)="P4",ISNUMBER(SEARCH("INDUSTRIAL HYGIENIST 1 ENVIRONMENT",UPPER(TRIM(SUBSTITUTE(CLEAN($E103),CHAR(160)," ")))))),"PS","GS"))</x:f>
      </x:c>
      <x:c r="R103" s="223" t="str">
        <x:f>IF($Q103="","",IF($Q103="PS",'Data'!$O$5,'Data'!$O$4))</x:f>
      </x:c>
      <x:c r="S103" s="224" t="str">
        <x:f>IF($E103="","",IFERROR(VLOOKUP($E103,'Data'!$A$2:$B$114,2,FALSE),""))</x:f>
      </x:c>
      <x:c r="T103" s="217" t="str">
        <x:f>IF($K103="","",VLOOKUP($K103,'Data'!$I$2:$L$6,2,TRUE))</x:f>
      </x:c>
      <x:c r="U103" s="217"/>
      <x:c r="V103" s="221" t="str">
        <x:f>IF($L103="","",$J103*$L103)</x:f>
      </x:c>
      <x:c r="W103" s="221" t="str">
        <x:f>IF($V103="","",$J103+$V103)</x:f>
      </x:c>
      <x:c r="X103" s="217" t="str">
        <x:f>IF($Y103="Ready","Review and inform supplier","")</x:f>
      </x:c>
      <x:c r="Y103" s="217" t="str">
        <x:f>IF(AND($B103="",$E103="",$I103=""),"",IF($B103="","Missing Assignment Number",IF($E103="","Select Job Title",IF($I103="","Enter Pay Rate",IF($S103="","Job Title not found","Ready")))))</x:f>
      </x:c>
    </x:row>
    <x:row r="104" ht="22" customHeight="1">
      <x:c r="A104" s="205"/>
      <x:c r="B104" s="205"/>
      <x:c r="C104" s="206"/>
      <x:c r="D104" s="205"/>
      <x:c r="E104" s="207"/>
      <x:c r="F104" s="208"/>
      <x:c r="G104" s="209" t="str">
        <x:f>IF($S104="","",IFERROR(VLOOKUP($S104,'Data'!$D$2:$G$14,3,FALSE),""))</x:f>
      </x:c>
      <x:c r="H104" s="210" t="str">
        <x:f>IF($G104="","",$G104/'Data'!$O$2/'Data'!$O$3)</x:f>
      </x:c>
      <x:c r="I104" s="211"/>
      <x:c r="J104" s="209" t="str">
        <x:f>IF(OR($E104="",$I104=""),"",$I104*'Data'!$O$2*'Data'!$O$3)</x:f>
      </x:c>
      <x:c r="K104" s="212" t="str">
        <x:f>IF(OR($J104="",$G104=""),"",$J104/$G104)</x:f>
      </x:c>
      <x:c r="L104" s="213" t="str">
        <x:f>IF($K104="","",VLOOKUP($K104,'Data'!$I$2:$L$6,3,TRUE))</x:f>
      </x:c>
      <x:c r="M104" s="210" t="str">
        <x:f>IF($L104="","",$I104*$L104)</x:f>
      </x:c>
      <x:c r="N104" s="214" t="str">
        <x:f>IF($M104="","",ROUNDDOWN($I104+$M104,2))</x:f>
      </x:c>
      <x:c r="O104" s="210" t="str">
        <x:f>IF($N104="","",ROUNDDOWN(ROUNDDOWN($N104,2)*$R104,3))</x:f>
      </x:c>
      <x:c r="P104" s="215"/>
      <x:c r="Q104" s="222" t="str">
        <x:f>IF($E104="","",IF(OR(RIGHT(UPPER(TRIM(SUBSTITUTE(CLEAN($E104),CHAR(160)," "))),2)="P1",RIGHT(UPPER(TRIM(SUBSTITUTE(CLEAN($E104),CHAR(160)," "))),2)="P2",RIGHT(UPPER(TRIM(SUBSTITUTE(CLEAN($E104),CHAR(160)," "))),2)="P3",RIGHT(UPPER(TRIM(SUBSTITUTE(CLEAN($E104),CHAR(160)," "))),2)="P4",ISNUMBER(SEARCH("INDUSTRIAL HYGIENIST 1 ENVIRONMENT",UPPER(TRIM(SUBSTITUTE(CLEAN($E104),CHAR(160)," ")))))),"PS","GS"))</x:f>
      </x:c>
      <x:c r="R104" s="223" t="str">
        <x:f>IF($Q104="","",IF($Q104="PS",'Data'!$O$5,'Data'!$O$4))</x:f>
      </x:c>
      <x:c r="S104" s="224" t="str">
        <x:f>IF($E104="","",IFERROR(VLOOKUP($E104,'Data'!$A$2:$B$114,2,FALSE),""))</x:f>
      </x:c>
      <x:c r="T104" s="217" t="str">
        <x:f>IF($K104="","",VLOOKUP($K104,'Data'!$I$2:$L$6,2,TRUE))</x:f>
      </x:c>
      <x:c r="U104" s="217"/>
      <x:c r="V104" s="221" t="str">
        <x:f>IF($L104="","",$J104*$L104)</x:f>
      </x:c>
      <x:c r="W104" s="221" t="str">
        <x:f>IF($V104="","",$J104+$V104)</x:f>
      </x:c>
      <x:c r="X104" s="217" t="str">
        <x:f>IF($Y104="Ready","Review and inform supplier","")</x:f>
      </x:c>
      <x:c r="Y104" s="217" t="str">
        <x:f>IF(AND($B104="",$E104="",$I104=""),"",IF($B104="","Missing Assignment Number",IF($E104="","Select Job Title",IF($I104="","Enter Pay Rate",IF($S104="","Job Title not found","Ready")))))</x:f>
      </x:c>
    </x:row>
    <x:row r="105" ht="22" customHeight="1">
      <x:c r="A105" s="205"/>
      <x:c r="B105" s="205"/>
      <x:c r="C105" s="206"/>
      <x:c r="D105" s="205"/>
      <x:c r="E105" s="207"/>
      <x:c r="F105" s="208"/>
      <x:c r="G105" s="209" t="str">
        <x:f>IF($S105="","",IFERROR(VLOOKUP($S105,'Data'!$D$2:$G$14,3,FALSE),""))</x:f>
      </x:c>
      <x:c r="H105" s="210" t="str">
        <x:f>IF($G105="","",$G105/'Data'!$O$2/'Data'!$O$3)</x:f>
      </x:c>
      <x:c r="I105" s="211"/>
      <x:c r="J105" s="209" t="str">
        <x:f>IF(OR($E105="",$I105=""),"",$I105*'Data'!$O$2*'Data'!$O$3)</x:f>
      </x:c>
      <x:c r="K105" s="212" t="str">
        <x:f>IF(OR($J105="",$G105=""),"",$J105/$G105)</x:f>
      </x:c>
      <x:c r="L105" s="213" t="str">
        <x:f>IF($K105="","",VLOOKUP($K105,'Data'!$I$2:$L$6,3,TRUE))</x:f>
      </x:c>
      <x:c r="M105" s="210" t="str">
        <x:f>IF($L105="","",$I105*$L105)</x:f>
      </x:c>
      <x:c r="N105" s="214" t="str">
        <x:f>IF($M105="","",ROUNDDOWN($I105+$M105,2))</x:f>
      </x:c>
      <x:c r="O105" s="210" t="str">
        <x:f>IF($N105="","",ROUNDDOWN(ROUNDDOWN($N105,2)*$R105,3))</x:f>
      </x:c>
      <x:c r="P105" s="215"/>
      <x:c r="Q105" s="222" t="str">
        <x:f>IF($E105="","",IF(OR(RIGHT(UPPER(TRIM(SUBSTITUTE(CLEAN($E105),CHAR(160)," "))),2)="P1",RIGHT(UPPER(TRIM(SUBSTITUTE(CLEAN($E105),CHAR(160)," "))),2)="P2",RIGHT(UPPER(TRIM(SUBSTITUTE(CLEAN($E105),CHAR(160)," "))),2)="P3",RIGHT(UPPER(TRIM(SUBSTITUTE(CLEAN($E105),CHAR(160)," "))),2)="P4",ISNUMBER(SEARCH("INDUSTRIAL HYGIENIST 1 ENVIRONMENT",UPPER(TRIM(SUBSTITUTE(CLEAN($E105),CHAR(160)," ")))))),"PS","GS"))</x:f>
      </x:c>
      <x:c r="R105" s="223" t="str">
        <x:f>IF($Q105="","",IF($Q105="PS",'Data'!$O$5,'Data'!$O$4))</x:f>
      </x:c>
      <x:c r="S105" s="224" t="str">
        <x:f>IF($E105="","",IFERROR(VLOOKUP($E105,'Data'!$A$2:$B$114,2,FALSE),""))</x:f>
      </x:c>
      <x:c r="T105" s="217" t="str">
        <x:f>IF($K105="","",VLOOKUP($K105,'Data'!$I$2:$L$6,2,TRUE))</x:f>
      </x:c>
      <x:c r="U105" s="217"/>
      <x:c r="V105" s="221" t="str">
        <x:f>IF($L105="","",$J105*$L105)</x:f>
      </x:c>
      <x:c r="W105" s="221" t="str">
        <x:f>IF($V105="","",$J105+$V105)</x:f>
      </x:c>
      <x:c r="X105" s="217" t="str">
        <x:f>IF($Y105="Ready","Review and inform supplier","")</x:f>
      </x:c>
      <x:c r="Y105" s="217" t="str">
        <x:f>IF(AND($B105="",$E105="",$I105=""),"",IF($B105="","Missing Assignment Number",IF($E105="","Select Job Title",IF($I105="","Enter Pay Rate",IF($S105="","Job Title not found","Ready")))))</x:f>
      </x:c>
    </x:row>
    <x:row r="106" ht="22" customHeight="1">
      <x:c r="A106" s="205"/>
      <x:c r="B106" s="205"/>
      <x:c r="C106" s="206"/>
      <x:c r="D106" s="205"/>
      <x:c r="E106" s="207"/>
      <x:c r="F106" s="208"/>
      <x:c r="G106" s="209" t="str">
        <x:f>IF($S106="","",IFERROR(VLOOKUP($S106,'Data'!$D$2:$G$14,3,FALSE),""))</x:f>
      </x:c>
      <x:c r="H106" s="210" t="str">
        <x:f>IF($G106="","",$G106/'Data'!$O$2/'Data'!$O$3)</x:f>
      </x:c>
      <x:c r="I106" s="211"/>
      <x:c r="J106" s="209" t="str">
        <x:f>IF(OR($E106="",$I106=""),"",$I106*'Data'!$O$2*'Data'!$O$3)</x:f>
      </x:c>
      <x:c r="K106" s="212" t="str">
        <x:f>IF(OR($J106="",$G106=""),"",$J106/$G106)</x:f>
      </x:c>
      <x:c r="L106" s="213" t="str">
        <x:f>IF($K106="","",VLOOKUP($K106,'Data'!$I$2:$L$6,3,TRUE))</x:f>
      </x:c>
      <x:c r="M106" s="210" t="str">
        <x:f>IF($L106="","",$I106*$L106)</x:f>
      </x:c>
      <x:c r="N106" s="214" t="str">
        <x:f>IF($M106="","",ROUNDDOWN($I106+$M106,2))</x:f>
      </x:c>
      <x:c r="O106" s="210" t="str">
        <x:f>IF($N106="","",ROUNDDOWN(ROUNDDOWN($N106,2)*$R106,3))</x:f>
      </x:c>
      <x:c r="P106" s="215"/>
      <x:c r="Q106" s="222" t="str">
        <x:f>IF($E106="","",IF(OR(RIGHT(UPPER(TRIM(SUBSTITUTE(CLEAN($E106),CHAR(160)," "))),2)="P1",RIGHT(UPPER(TRIM(SUBSTITUTE(CLEAN($E106),CHAR(160)," "))),2)="P2",RIGHT(UPPER(TRIM(SUBSTITUTE(CLEAN($E106),CHAR(160)," "))),2)="P3",RIGHT(UPPER(TRIM(SUBSTITUTE(CLEAN($E106),CHAR(160)," "))),2)="P4",ISNUMBER(SEARCH("INDUSTRIAL HYGIENIST 1 ENVIRONMENT",UPPER(TRIM(SUBSTITUTE(CLEAN($E106),CHAR(160)," ")))))),"PS","GS"))</x:f>
      </x:c>
      <x:c r="R106" s="223" t="str">
        <x:f>IF($Q106="","",IF($Q106="PS",'Data'!$O$5,'Data'!$O$4))</x:f>
      </x:c>
      <x:c r="S106" s="224" t="str">
        <x:f>IF($E106="","",IFERROR(VLOOKUP($E106,'Data'!$A$2:$B$114,2,FALSE),""))</x:f>
      </x:c>
      <x:c r="T106" s="217" t="str">
        <x:f>IF($K106="","",VLOOKUP($K106,'Data'!$I$2:$L$6,2,TRUE))</x:f>
      </x:c>
      <x:c r="U106" s="217"/>
      <x:c r="V106" s="221" t="str">
        <x:f>IF($L106="","",$J106*$L106)</x:f>
      </x:c>
      <x:c r="W106" s="221" t="str">
        <x:f>IF($V106="","",$J106+$V106)</x:f>
      </x:c>
      <x:c r="X106" s="217" t="str">
        <x:f>IF($Y106="Ready","Review and inform supplier","")</x:f>
      </x:c>
      <x:c r="Y106" s="217" t="str">
        <x:f>IF(AND($B106="",$E106="",$I106=""),"",IF($B106="","Missing Assignment Number",IF($E106="","Select Job Title",IF($I106="","Enter Pay Rate",IF($S106="","Job Title not found","Ready")))))</x:f>
      </x:c>
    </x:row>
    <x:row r="107" ht="22" customHeight="1">
      <x:c r="A107" s="205"/>
      <x:c r="B107" s="205"/>
      <x:c r="C107" s="206"/>
      <x:c r="D107" s="205"/>
      <x:c r="E107" s="207"/>
      <x:c r="F107" s="208"/>
      <x:c r="G107" s="209" t="str">
        <x:f>IF($S107="","",IFERROR(VLOOKUP($S107,'Data'!$D$2:$G$14,3,FALSE),""))</x:f>
      </x:c>
      <x:c r="H107" s="210" t="str">
        <x:f>IF($G107="","",$G107/'Data'!$O$2/'Data'!$O$3)</x:f>
      </x:c>
      <x:c r="I107" s="211"/>
      <x:c r="J107" s="209" t="str">
        <x:f>IF(OR($E107="",$I107=""),"",$I107*'Data'!$O$2*'Data'!$O$3)</x:f>
      </x:c>
      <x:c r="K107" s="212" t="str">
        <x:f>IF(OR($J107="",$G107=""),"",$J107/$G107)</x:f>
      </x:c>
      <x:c r="L107" s="213" t="str">
        <x:f>IF($K107="","",VLOOKUP($K107,'Data'!$I$2:$L$6,3,TRUE))</x:f>
      </x:c>
      <x:c r="M107" s="210" t="str">
        <x:f>IF($L107="","",$I107*$L107)</x:f>
      </x:c>
      <x:c r="N107" s="214" t="str">
        <x:f>IF($M107="","",ROUNDDOWN($I107+$M107,2))</x:f>
      </x:c>
      <x:c r="O107" s="210" t="str">
        <x:f>IF($N107="","",ROUNDDOWN(ROUNDDOWN($N107,2)*$R107,3))</x:f>
      </x:c>
      <x:c r="P107" s="215"/>
      <x:c r="Q107" s="222" t="str">
        <x:f>IF($E107="","",IF(OR(RIGHT(UPPER(TRIM(SUBSTITUTE(CLEAN($E107),CHAR(160)," "))),2)="P1",RIGHT(UPPER(TRIM(SUBSTITUTE(CLEAN($E107),CHAR(160)," "))),2)="P2",RIGHT(UPPER(TRIM(SUBSTITUTE(CLEAN($E107),CHAR(160)," "))),2)="P3",RIGHT(UPPER(TRIM(SUBSTITUTE(CLEAN($E107),CHAR(160)," "))),2)="P4",ISNUMBER(SEARCH("INDUSTRIAL HYGIENIST 1 ENVIRONMENT",UPPER(TRIM(SUBSTITUTE(CLEAN($E107),CHAR(160)," ")))))),"PS","GS"))</x:f>
      </x:c>
      <x:c r="R107" s="223" t="str">
        <x:f>IF($Q107="","",IF($Q107="PS",'Data'!$O$5,'Data'!$O$4))</x:f>
      </x:c>
      <x:c r="S107" s="224" t="str">
        <x:f>IF($E107="","",IFERROR(VLOOKUP($E107,'Data'!$A$2:$B$114,2,FALSE),""))</x:f>
      </x:c>
      <x:c r="T107" s="217" t="str">
        <x:f>IF($K107="","",VLOOKUP($K107,'Data'!$I$2:$L$6,2,TRUE))</x:f>
      </x:c>
      <x:c r="U107" s="217"/>
      <x:c r="V107" s="221" t="str">
        <x:f>IF($L107="","",$J107*$L107)</x:f>
      </x:c>
      <x:c r="W107" s="221" t="str">
        <x:f>IF($V107="","",$J107+$V107)</x:f>
      </x:c>
      <x:c r="X107" s="217" t="str">
        <x:f>IF($Y107="Ready","Review and inform supplier","")</x:f>
      </x:c>
      <x:c r="Y107" s="217" t="str">
        <x:f>IF(AND($B107="",$E107="",$I107=""),"",IF($B107="","Missing Assignment Number",IF($E107="","Select Job Title",IF($I107="","Enter Pay Rate",IF($S107="","Job Title not found","Ready")))))</x:f>
      </x:c>
    </x:row>
    <x:row r="108" ht="22" customHeight="1">
      <x:c r="A108" s="205"/>
      <x:c r="B108" s="205"/>
      <x:c r="C108" s="206"/>
      <x:c r="D108" s="205"/>
      <x:c r="E108" s="207"/>
      <x:c r="F108" s="208"/>
      <x:c r="G108" s="209" t="str">
        <x:f>IF($S108="","",IFERROR(VLOOKUP($S108,'Data'!$D$2:$G$14,3,FALSE),""))</x:f>
      </x:c>
      <x:c r="H108" s="210" t="str">
        <x:f>IF($G108="","",$G108/'Data'!$O$2/'Data'!$O$3)</x:f>
      </x:c>
      <x:c r="I108" s="211"/>
      <x:c r="J108" s="209" t="str">
        <x:f>IF(OR($E108="",$I108=""),"",$I108*'Data'!$O$2*'Data'!$O$3)</x:f>
      </x:c>
      <x:c r="K108" s="212" t="str">
        <x:f>IF(OR($J108="",$G108=""),"",$J108/$G108)</x:f>
      </x:c>
      <x:c r="L108" s="213" t="str">
        <x:f>IF($K108="","",VLOOKUP($K108,'Data'!$I$2:$L$6,3,TRUE))</x:f>
      </x:c>
      <x:c r="M108" s="210" t="str">
        <x:f>IF($L108="","",$I108*$L108)</x:f>
      </x:c>
      <x:c r="N108" s="214" t="str">
        <x:f>IF($M108="","",ROUNDDOWN($I108+$M108,2))</x:f>
      </x:c>
      <x:c r="O108" s="210" t="str">
        <x:f>IF($N108="","",ROUNDDOWN(ROUNDDOWN($N108,2)*$R108,3))</x:f>
      </x:c>
      <x:c r="P108" s="215"/>
      <x:c r="Q108" s="222" t="str">
        <x:f>IF($E108="","",IF(OR(RIGHT(UPPER(TRIM(SUBSTITUTE(CLEAN($E108),CHAR(160)," "))),2)="P1",RIGHT(UPPER(TRIM(SUBSTITUTE(CLEAN($E108),CHAR(160)," "))),2)="P2",RIGHT(UPPER(TRIM(SUBSTITUTE(CLEAN($E108),CHAR(160)," "))),2)="P3",RIGHT(UPPER(TRIM(SUBSTITUTE(CLEAN($E108),CHAR(160)," "))),2)="P4",ISNUMBER(SEARCH("INDUSTRIAL HYGIENIST 1 ENVIRONMENT",UPPER(TRIM(SUBSTITUTE(CLEAN($E108),CHAR(160)," ")))))),"PS","GS"))</x:f>
      </x:c>
      <x:c r="R108" s="223" t="str">
        <x:f>IF($Q108="","",IF($Q108="PS",'Data'!$O$5,'Data'!$O$4))</x:f>
      </x:c>
      <x:c r="S108" s="224" t="str">
        <x:f>IF($E108="","",IFERROR(VLOOKUP($E108,'Data'!$A$2:$B$114,2,FALSE),""))</x:f>
      </x:c>
      <x:c r="T108" s="217" t="str">
        <x:f>IF($K108="","",VLOOKUP($K108,'Data'!$I$2:$L$6,2,TRUE))</x:f>
      </x:c>
      <x:c r="U108" s="217"/>
      <x:c r="V108" s="221" t="str">
        <x:f>IF($L108="","",$J108*$L108)</x:f>
      </x:c>
      <x:c r="W108" s="221" t="str">
        <x:f>IF($V108="","",$J108+$V108)</x:f>
      </x:c>
      <x:c r="X108" s="217" t="str">
        <x:f>IF($Y108="Ready","Review and inform supplier","")</x:f>
      </x:c>
      <x:c r="Y108" s="217" t="str">
        <x:f>IF(AND($B108="",$E108="",$I108=""),"",IF($B108="","Missing Assignment Number",IF($E108="","Select Job Title",IF($I108="","Enter Pay Rate",IF($S108="","Job Title not found","Ready")))))</x:f>
      </x:c>
    </x:row>
    <x:row r="109" ht="22" customHeight="1">
      <x:c r="A109" s="205"/>
      <x:c r="B109" s="205"/>
      <x:c r="C109" s="206"/>
      <x:c r="D109" s="205"/>
      <x:c r="E109" s="207"/>
      <x:c r="F109" s="208"/>
      <x:c r="G109" s="209" t="str">
        <x:f>IF($S109="","",IFERROR(VLOOKUP($S109,'Data'!$D$2:$G$14,3,FALSE),""))</x:f>
      </x:c>
      <x:c r="H109" s="210" t="str">
        <x:f>IF($G109="","",$G109/'Data'!$O$2/'Data'!$O$3)</x:f>
      </x:c>
      <x:c r="I109" s="211"/>
      <x:c r="J109" s="209" t="str">
        <x:f>IF(OR($E109="",$I109=""),"",$I109*'Data'!$O$2*'Data'!$O$3)</x:f>
      </x:c>
      <x:c r="K109" s="212" t="str">
        <x:f>IF(OR($J109="",$G109=""),"",$J109/$G109)</x:f>
      </x:c>
      <x:c r="L109" s="213" t="str">
        <x:f>IF($K109="","",VLOOKUP($K109,'Data'!$I$2:$L$6,3,TRUE))</x:f>
      </x:c>
      <x:c r="M109" s="210" t="str">
        <x:f>IF($L109="","",$I109*$L109)</x:f>
      </x:c>
      <x:c r="N109" s="214" t="str">
        <x:f>IF($M109="","",ROUNDDOWN($I109+$M109,2))</x:f>
      </x:c>
      <x:c r="O109" s="210" t="str">
        <x:f>IF($N109="","",ROUNDDOWN(ROUNDDOWN($N109,2)*$R109,3))</x:f>
      </x:c>
      <x:c r="P109" s="215"/>
      <x:c r="Q109" s="222" t="str">
        <x:f>IF($E109="","",IF(OR(RIGHT(UPPER(TRIM(SUBSTITUTE(CLEAN($E109),CHAR(160)," "))),2)="P1",RIGHT(UPPER(TRIM(SUBSTITUTE(CLEAN($E109),CHAR(160)," "))),2)="P2",RIGHT(UPPER(TRIM(SUBSTITUTE(CLEAN($E109),CHAR(160)," "))),2)="P3",RIGHT(UPPER(TRIM(SUBSTITUTE(CLEAN($E109),CHAR(160)," "))),2)="P4",ISNUMBER(SEARCH("INDUSTRIAL HYGIENIST 1 ENVIRONMENT",UPPER(TRIM(SUBSTITUTE(CLEAN($E109),CHAR(160)," ")))))),"PS","GS"))</x:f>
      </x:c>
      <x:c r="R109" s="223" t="str">
        <x:f>IF($Q109="","",IF($Q109="PS",'Data'!$O$5,'Data'!$O$4))</x:f>
      </x:c>
      <x:c r="S109" s="224" t="str">
        <x:f>IF($E109="","",IFERROR(VLOOKUP($E109,'Data'!$A$2:$B$114,2,FALSE),""))</x:f>
      </x:c>
      <x:c r="T109" s="217" t="str">
        <x:f>IF($K109="","",VLOOKUP($K109,'Data'!$I$2:$L$6,2,TRUE))</x:f>
      </x:c>
      <x:c r="U109" s="217"/>
      <x:c r="V109" s="221" t="str">
        <x:f>IF($L109="","",$J109*$L109)</x:f>
      </x:c>
      <x:c r="W109" s="221" t="str">
        <x:f>IF($V109="","",$J109+$V109)</x:f>
      </x:c>
      <x:c r="X109" s="217" t="str">
        <x:f>IF($Y109="Ready","Review and inform supplier","")</x:f>
      </x:c>
      <x:c r="Y109" s="217" t="str">
        <x:f>IF(AND($B109="",$E109="",$I109=""),"",IF($B109="","Missing Assignment Number",IF($E109="","Select Job Title",IF($I109="","Enter Pay Rate",IF($S109="","Job Title not found","Ready")))))</x:f>
      </x:c>
    </x:row>
    <x:row r="110" ht="22" customHeight="1">
      <x:c r="A110" s="205"/>
      <x:c r="B110" s="205"/>
      <x:c r="C110" s="206"/>
      <x:c r="D110" s="205"/>
      <x:c r="E110" s="207"/>
      <x:c r="F110" s="208"/>
      <x:c r="G110" s="209" t="str">
        <x:f>IF($S110="","",IFERROR(VLOOKUP($S110,'Data'!$D$2:$G$14,3,FALSE),""))</x:f>
      </x:c>
      <x:c r="H110" s="210" t="str">
        <x:f>IF($G110="","",$G110/'Data'!$O$2/'Data'!$O$3)</x:f>
      </x:c>
      <x:c r="I110" s="211"/>
      <x:c r="J110" s="209" t="str">
        <x:f>IF(OR($E110="",$I110=""),"",$I110*'Data'!$O$2*'Data'!$O$3)</x:f>
      </x:c>
      <x:c r="K110" s="212" t="str">
        <x:f>IF(OR($J110="",$G110=""),"",$J110/$G110)</x:f>
      </x:c>
      <x:c r="L110" s="213" t="str">
        <x:f>IF($K110="","",VLOOKUP($K110,'Data'!$I$2:$L$6,3,TRUE))</x:f>
      </x:c>
      <x:c r="M110" s="210" t="str">
        <x:f>IF($L110="","",$I110*$L110)</x:f>
      </x:c>
      <x:c r="N110" s="214" t="str">
        <x:f>IF($M110="","",ROUNDDOWN($I110+$M110,2))</x:f>
      </x:c>
      <x:c r="O110" s="210" t="str">
        <x:f>IF($N110="","",ROUNDDOWN(ROUNDDOWN($N110,2)*$R110,3))</x:f>
      </x:c>
      <x:c r="P110" s="215"/>
      <x:c r="Q110" s="222" t="str">
        <x:f>IF($E110="","",IF(OR(RIGHT(UPPER(TRIM(SUBSTITUTE(CLEAN($E110),CHAR(160)," "))),2)="P1",RIGHT(UPPER(TRIM(SUBSTITUTE(CLEAN($E110),CHAR(160)," "))),2)="P2",RIGHT(UPPER(TRIM(SUBSTITUTE(CLEAN($E110),CHAR(160)," "))),2)="P3",RIGHT(UPPER(TRIM(SUBSTITUTE(CLEAN($E110),CHAR(160)," "))),2)="P4",ISNUMBER(SEARCH("INDUSTRIAL HYGIENIST 1 ENVIRONMENT",UPPER(TRIM(SUBSTITUTE(CLEAN($E110),CHAR(160)," ")))))),"PS","GS"))</x:f>
      </x:c>
      <x:c r="R110" s="223" t="str">
        <x:f>IF($Q110="","",IF($Q110="PS",'Data'!$O$5,'Data'!$O$4))</x:f>
      </x:c>
      <x:c r="S110" s="224" t="str">
        <x:f>IF($E110="","",IFERROR(VLOOKUP($E110,'Data'!$A$2:$B$114,2,FALSE),""))</x:f>
      </x:c>
      <x:c r="T110" s="217" t="str">
        <x:f>IF($K110="","",VLOOKUP($K110,'Data'!$I$2:$L$6,2,TRUE))</x:f>
      </x:c>
      <x:c r="U110" s="217"/>
      <x:c r="V110" s="221" t="str">
        <x:f>IF($L110="","",$J110*$L110)</x:f>
      </x:c>
      <x:c r="W110" s="221" t="str">
        <x:f>IF($V110="","",$J110+$V110)</x:f>
      </x:c>
      <x:c r="X110" s="217" t="str">
        <x:f>IF($Y110="Ready","Review and inform supplier","")</x:f>
      </x:c>
      <x:c r="Y110" s="217" t="str">
        <x:f>IF(AND($B110="",$E110="",$I110=""),"",IF($B110="","Missing Assignment Number",IF($E110="","Select Job Title",IF($I110="","Enter Pay Rate",IF($S110="","Job Title not found","Ready")))))</x:f>
      </x:c>
    </x:row>
    <x:row r="111" ht="22" customHeight="1">
      <x:c r="A111" s="205"/>
      <x:c r="B111" s="205"/>
      <x:c r="C111" s="206"/>
      <x:c r="D111" s="205"/>
      <x:c r="E111" s="207"/>
      <x:c r="F111" s="208"/>
      <x:c r="G111" s="209" t="str">
        <x:f>IF($S111="","",IFERROR(VLOOKUP($S111,'Data'!$D$2:$G$14,3,FALSE),""))</x:f>
      </x:c>
      <x:c r="H111" s="210" t="str">
        <x:f>IF($G111="","",$G111/'Data'!$O$2/'Data'!$O$3)</x:f>
      </x:c>
      <x:c r="I111" s="211"/>
      <x:c r="J111" s="209" t="str">
        <x:f>IF(OR($E111="",$I111=""),"",$I111*'Data'!$O$2*'Data'!$O$3)</x:f>
      </x:c>
      <x:c r="K111" s="212" t="str">
        <x:f>IF(OR($J111="",$G111=""),"",$J111/$G111)</x:f>
      </x:c>
      <x:c r="L111" s="213" t="str">
        <x:f>IF($K111="","",VLOOKUP($K111,'Data'!$I$2:$L$6,3,TRUE))</x:f>
      </x:c>
      <x:c r="M111" s="210" t="str">
        <x:f>IF($L111="","",$I111*$L111)</x:f>
      </x:c>
      <x:c r="N111" s="214" t="str">
        <x:f>IF($M111="","",ROUNDDOWN($I111+$M111,2))</x:f>
      </x:c>
      <x:c r="O111" s="210" t="str">
        <x:f>IF($N111="","",ROUNDDOWN(ROUNDDOWN($N111,2)*$R111,3))</x:f>
      </x:c>
      <x:c r="P111" s="215"/>
      <x:c r="Q111" s="222" t="str">
        <x:f>IF($E111="","",IF(OR(RIGHT(UPPER(TRIM(SUBSTITUTE(CLEAN($E111),CHAR(160)," "))),2)="P1",RIGHT(UPPER(TRIM(SUBSTITUTE(CLEAN($E111),CHAR(160)," "))),2)="P2",RIGHT(UPPER(TRIM(SUBSTITUTE(CLEAN($E111),CHAR(160)," "))),2)="P3",RIGHT(UPPER(TRIM(SUBSTITUTE(CLEAN($E111),CHAR(160)," "))),2)="P4",ISNUMBER(SEARCH("INDUSTRIAL HYGIENIST 1 ENVIRONMENT",UPPER(TRIM(SUBSTITUTE(CLEAN($E111),CHAR(160)," ")))))),"PS","GS"))</x:f>
      </x:c>
      <x:c r="R111" s="223" t="str">
        <x:f>IF($Q111="","",IF($Q111="PS",'Data'!$O$5,'Data'!$O$4))</x:f>
      </x:c>
      <x:c r="S111" s="224" t="str">
        <x:f>IF($E111="","",IFERROR(VLOOKUP($E111,'Data'!$A$2:$B$114,2,FALSE),""))</x:f>
      </x:c>
      <x:c r="T111" s="217" t="str">
        <x:f>IF($K111="","",VLOOKUP($K111,'Data'!$I$2:$L$6,2,TRUE))</x:f>
      </x:c>
      <x:c r="U111" s="217"/>
      <x:c r="V111" s="221" t="str">
        <x:f>IF($L111="","",$J111*$L111)</x:f>
      </x:c>
      <x:c r="W111" s="221" t="str">
        <x:f>IF($V111="","",$J111+$V111)</x:f>
      </x:c>
      <x:c r="X111" s="217" t="str">
        <x:f>IF($Y111="Ready","Review and inform supplier","")</x:f>
      </x:c>
      <x:c r="Y111" s="217" t="str">
        <x:f>IF(AND($B111="",$E111="",$I111=""),"",IF($B111="","Missing Assignment Number",IF($E111="","Select Job Title",IF($I111="","Enter Pay Rate",IF($S111="","Job Title not found","Ready")))))</x:f>
      </x:c>
    </x:row>
    <x:row r="112" ht="22" customHeight="1">
      <x:c r="A112" s="205"/>
      <x:c r="B112" s="205"/>
      <x:c r="C112" s="206"/>
      <x:c r="D112" s="205"/>
      <x:c r="E112" s="207"/>
      <x:c r="F112" s="208"/>
      <x:c r="G112" s="209" t="str">
        <x:f>IF($S112="","",IFERROR(VLOOKUP($S112,'Data'!$D$2:$G$14,3,FALSE),""))</x:f>
      </x:c>
      <x:c r="H112" s="210" t="str">
        <x:f>IF($G112="","",$G112/'Data'!$O$2/'Data'!$O$3)</x:f>
      </x:c>
      <x:c r="I112" s="211"/>
      <x:c r="J112" s="209" t="str">
        <x:f>IF(OR($E112="",$I112=""),"",$I112*'Data'!$O$2*'Data'!$O$3)</x:f>
      </x:c>
      <x:c r="K112" s="212" t="str">
        <x:f>IF(OR($J112="",$G112=""),"",$J112/$G112)</x:f>
      </x:c>
      <x:c r="L112" s="213" t="str">
        <x:f>IF($K112="","",VLOOKUP($K112,'Data'!$I$2:$L$6,3,TRUE))</x:f>
      </x:c>
      <x:c r="M112" s="210" t="str">
        <x:f>IF($L112="","",$I112*$L112)</x:f>
      </x:c>
      <x:c r="N112" s="214" t="str">
        <x:f>IF($M112="","",ROUNDDOWN($I112+$M112,2))</x:f>
      </x:c>
      <x:c r="O112" s="210" t="str">
        <x:f>IF($N112="","",ROUNDDOWN(ROUNDDOWN($N112,2)*$R112,3))</x:f>
      </x:c>
      <x:c r="P112" s="215"/>
      <x:c r="Q112" s="222" t="str">
        <x:f>IF($E112="","",IF(OR(RIGHT(UPPER(TRIM(SUBSTITUTE(CLEAN($E112),CHAR(160)," "))),2)="P1",RIGHT(UPPER(TRIM(SUBSTITUTE(CLEAN($E112),CHAR(160)," "))),2)="P2",RIGHT(UPPER(TRIM(SUBSTITUTE(CLEAN($E112),CHAR(160)," "))),2)="P3",RIGHT(UPPER(TRIM(SUBSTITUTE(CLEAN($E112),CHAR(160)," "))),2)="P4",ISNUMBER(SEARCH("INDUSTRIAL HYGIENIST 1 ENVIRONMENT",UPPER(TRIM(SUBSTITUTE(CLEAN($E112),CHAR(160)," ")))))),"PS","GS"))</x:f>
      </x:c>
      <x:c r="R112" s="223" t="str">
        <x:f>IF($Q112="","",IF($Q112="PS",'Data'!$O$5,'Data'!$O$4))</x:f>
      </x:c>
      <x:c r="S112" s="224" t="str">
        <x:f>IF($E112="","",IFERROR(VLOOKUP($E112,'Data'!$A$2:$B$114,2,FALSE),""))</x:f>
      </x:c>
      <x:c r="T112" s="217" t="str">
        <x:f>IF($K112="","",VLOOKUP($K112,'Data'!$I$2:$L$6,2,TRUE))</x:f>
      </x:c>
      <x:c r="U112" s="217"/>
      <x:c r="V112" s="221" t="str">
        <x:f>IF($L112="","",$J112*$L112)</x:f>
      </x:c>
      <x:c r="W112" s="221" t="str">
        <x:f>IF($V112="","",$J112+$V112)</x:f>
      </x:c>
      <x:c r="X112" s="217" t="str">
        <x:f>IF($Y112="Ready","Review and inform supplier","")</x:f>
      </x:c>
      <x:c r="Y112" s="217" t="str">
        <x:f>IF(AND($B112="",$E112="",$I112=""),"",IF($B112="","Missing Assignment Number",IF($E112="","Select Job Title",IF($I112="","Enter Pay Rate",IF($S112="","Job Title not found","Ready")))))</x:f>
      </x:c>
    </x:row>
    <x:row r="113" ht="22" customHeight="1">
      <x:c r="A113" s="205"/>
      <x:c r="B113" s="205"/>
      <x:c r="C113" s="206"/>
      <x:c r="D113" s="205"/>
      <x:c r="E113" s="207"/>
      <x:c r="F113" s="208"/>
      <x:c r="G113" s="209" t="str">
        <x:f>IF($S113="","",IFERROR(VLOOKUP($S113,'Data'!$D$2:$G$14,3,FALSE),""))</x:f>
      </x:c>
      <x:c r="H113" s="210" t="str">
        <x:f>IF($G113="","",$G113/'Data'!$O$2/'Data'!$O$3)</x:f>
      </x:c>
      <x:c r="I113" s="211"/>
      <x:c r="J113" s="209" t="str">
        <x:f>IF(OR($E113="",$I113=""),"",$I113*'Data'!$O$2*'Data'!$O$3)</x:f>
      </x:c>
      <x:c r="K113" s="212" t="str">
        <x:f>IF(OR($J113="",$G113=""),"",$J113/$G113)</x:f>
      </x:c>
      <x:c r="L113" s="213" t="str">
        <x:f>IF($K113="","",VLOOKUP($K113,'Data'!$I$2:$L$6,3,TRUE))</x:f>
      </x:c>
      <x:c r="M113" s="210" t="str">
        <x:f>IF($L113="","",$I113*$L113)</x:f>
      </x:c>
      <x:c r="N113" s="214" t="str">
        <x:f>IF($M113="","",ROUNDDOWN($I113+$M113,2))</x:f>
      </x:c>
      <x:c r="O113" s="210" t="str">
        <x:f>IF($N113="","",ROUNDDOWN(ROUNDDOWN($N113,2)*$R113,3))</x:f>
      </x:c>
      <x:c r="P113" s="215"/>
      <x:c r="Q113" s="222" t="str">
        <x:f>IF($E113="","",IF(OR(RIGHT(UPPER(TRIM(SUBSTITUTE(CLEAN($E113),CHAR(160)," "))),2)="P1",RIGHT(UPPER(TRIM(SUBSTITUTE(CLEAN($E113),CHAR(160)," "))),2)="P2",RIGHT(UPPER(TRIM(SUBSTITUTE(CLEAN($E113),CHAR(160)," "))),2)="P3",RIGHT(UPPER(TRIM(SUBSTITUTE(CLEAN($E113),CHAR(160)," "))),2)="P4",ISNUMBER(SEARCH("INDUSTRIAL HYGIENIST 1 ENVIRONMENT",UPPER(TRIM(SUBSTITUTE(CLEAN($E113),CHAR(160)," ")))))),"PS","GS"))</x:f>
      </x:c>
      <x:c r="R113" s="223" t="str">
        <x:f>IF($Q113="","",IF($Q113="PS",'Data'!$O$5,'Data'!$O$4))</x:f>
      </x:c>
      <x:c r="S113" s="224" t="str">
        <x:f>IF($E113="","",IFERROR(VLOOKUP($E113,'Data'!$A$2:$B$114,2,FALSE),""))</x:f>
      </x:c>
      <x:c r="T113" s="217" t="str">
        <x:f>IF($K113="","",VLOOKUP($K113,'Data'!$I$2:$L$6,2,TRUE))</x:f>
      </x:c>
      <x:c r="U113" s="217"/>
      <x:c r="V113" s="221" t="str">
        <x:f>IF($L113="","",$J113*$L113)</x:f>
      </x:c>
      <x:c r="W113" s="221" t="str">
        <x:f>IF($V113="","",$J113+$V113)</x:f>
      </x:c>
      <x:c r="X113" s="217" t="str">
        <x:f>IF($Y113="Ready","Review and inform supplier","")</x:f>
      </x:c>
      <x:c r="Y113" s="217" t="str">
        <x:f>IF(AND($B113="",$E113="",$I113=""),"",IF($B113="","Missing Assignment Number",IF($E113="","Select Job Title",IF($I113="","Enter Pay Rate",IF($S113="","Job Title not found","Ready")))))</x:f>
      </x:c>
    </x:row>
    <x:row r="114" ht="22" customHeight="1">
      <x:c r="A114" s="205"/>
      <x:c r="B114" s="205"/>
      <x:c r="C114" s="206"/>
      <x:c r="D114" s="205"/>
      <x:c r="E114" s="207"/>
      <x:c r="F114" s="208"/>
      <x:c r="G114" s="209" t="str">
        <x:f>IF($S114="","",IFERROR(VLOOKUP($S114,'Data'!$D$2:$G$14,3,FALSE),""))</x:f>
      </x:c>
      <x:c r="H114" s="210" t="str">
        <x:f>IF($G114="","",$G114/'Data'!$O$2/'Data'!$O$3)</x:f>
      </x:c>
      <x:c r="I114" s="211"/>
      <x:c r="J114" s="209" t="str">
        <x:f>IF(OR($E114="",$I114=""),"",$I114*'Data'!$O$2*'Data'!$O$3)</x:f>
      </x:c>
      <x:c r="K114" s="212" t="str">
        <x:f>IF(OR($J114="",$G114=""),"",$J114/$G114)</x:f>
      </x:c>
      <x:c r="L114" s="213" t="str">
        <x:f>IF($K114="","",VLOOKUP($K114,'Data'!$I$2:$L$6,3,TRUE))</x:f>
      </x:c>
      <x:c r="M114" s="210" t="str">
        <x:f>IF($L114="","",$I114*$L114)</x:f>
      </x:c>
      <x:c r="N114" s="214" t="str">
        <x:f>IF($M114="","",ROUNDDOWN($I114+$M114,2))</x:f>
      </x:c>
      <x:c r="O114" s="210" t="str">
        <x:f>IF($N114="","",ROUNDDOWN(ROUNDDOWN($N114,2)*$R114,3))</x:f>
      </x:c>
      <x:c r="P114" s="215"/>
      <x:c r="Q114" s="222" t="str">
        <x:f>IF($E114="","",IF(OR(RIGHT(UPPER(TRIM(SUBSTITUTE(CLEAN($E114),CHAR(160)," "))),2)="P1",RIGHT(UPPER(TRIM(SUBSTITUTE(CLEAN($E114),CHAR(160)," "))),2)="P2",RIGHT(UPPER(TRIM(SUBSTITUTE(CLEAN($E114),CHAR(160)," "))),2)="P3",RIGHT(UPPER(TRIM(SUBSTITUTE(CLEAN($E114),CHAR(160)," "))),2)="P4",ISNUMBER(SEARCH("INDUSTRIAL HYGIENIST 1 ENVIRONMENT",UPPER(TRIM(SUBSTITUTE(CLEAN($E114),CHAR(160)," ")))))),"PS","GS"))</x:f>
      </x:c>
      <x:c r="R114" s="223" t="str">
        <x:f>IF($Q114="","",IF($Q114="PS",'Data'!$O$5,'Data'!$O$4))</x:f>
      </x:c>
      <x:c r="S114" s="224" t="str">
        <x:f>IF($E114="","",IFERROR(VLOOKUP($E114,'Data'!$A$2:$B$114,2,FALSE),""))</x:f>
      </x:c>
      <x:c r="T114" s="217" t="str">
        <x:f>IF($K114="","",VLOOKUP($K114,'Data'!$I$2:$L$6,2,TRUE))</x:f>
      </x:c>
      <x:c r="U114" s="217"/>
      <x:c r="V114" s="221" t="str">
        <x:f>IF($L114="","",$J114*$L114)</x:f>
      </x:c>
      <x:c r="W114" s="221" t="str">
        <x:f>IF($V114="","",$J114+$V114)</x:f>
      </x:c>
      <x:c r="X114" s="217" t="str">
        <x:f>IF($Y114="Ready","Review and inform supplier","")</x:f>
      </x:c>
      <x:c r="Y114" s="217" t="str">
        <x:f>IF(AND($B114="",$E114="",$I114=""),"",IF($B114="","Missing Assignment Number",IF($E114="","Select Job Title",IF($I114="","Enter Pay Rate",IF($S114="","Job Title not found","Ready")))))</x:f>
      </x:c>
    </x:row>
    <x:row r="115" ht="22" customHeight="1">
      <x:c r="A115" s="205"/>
      <x:c r="B115" s="205"/>
      <x:c r="C115" s="206"/>
      <x:c r="D115" s="205"/>
      <x:c r="E115" s="207"/>
      <x:c r="F115" s="208"/>
      <x:c r="G115" s="209" t="str">
        <x:f>IF($S115="","",IFERROR(VLOOKUP($S115,'Data'!$D$2:$G$14,3,FALSE),""))</x:f>
      </x:c>
      <x:c r="H115" s="210" t="str">
        <x:f>IF($G115="","",$G115/'Data'!$O$2/'Data'!$O$3)</x:f>
      </x:c>
      <x:c r="I115" s="211"/>
      <x:c r="J115" s="209" t="str">
        <x:f>IF(OR($E115="",$I115=""),"",$I115*'Data'!$O$2*'Data'!$O$3)</x:f>
      </x:c>
      <x:c r="K115" s="212" t="str">
        <x:f>IF(OR($J115="",$G115=""),"",$J115/$G115)</x:f>
      </x:c>
      <x:c r="L115" s="213" t="str">
        <x:f>IF($K115="","",VLOOKUP($K115,'Data'!$I$2:$L$6,3,TRUE))</x:f>
      </x:c>
      <x:c r="M115" s="210" t="str">
        <x:f>IF($L115="","",$I115*$L115)</x:f>
      </x:c>
      <x:c r="N115" s="214" t="str">
        <x:f>IF($M115="","",ROUNDDOWN($I115+$M115,2))</x:f>
      </x:c>
      <x:c r="O115" s="210" t="str">
        <x:f>IF($N115="","",ROUNDDOWN(ROUNDDOWN($N115,2)*$R115,3))</x:f>
      </x:c>
      <x:c r="P115" s="215"/>
      <x:c r="Q115" s="222" t="str">
        <x:f>IF($E115="","",IF(OR(RIGHT(UPPER(TRIM(SUBSTITUTE(CLEAN($E115),CHAR(160)," "))),2)="P1",RIGHT(UPPER(TRIM(SUBSTITUTE(CLEAN($E115),CHAR(160)," "))),2)="P2",RIGHT(UPPER(TRIM(SUBSTITUTE(CLEAN($E115),CHAR(160)," "))),2)="P3",RIGHT(UPPER(TRIM(SUBSTITUTE(CLEAN($E115),CHAR(160)," "))),2)="P4",ISNUMBER(SEARCH("INDUSTRIAL HYGIENIST 1 ENVIRONMENT",UPPER(TRIM(SUBSTITUTE(CLEAN($E115),CHAR(160)," ")))))),"PS","GS"))</x:f>
      </x:c>
      <x:c r="R115" s="223" t="str">
        <x:f>IF($Q115="","",IF($Q115="PS",'Data'!$O$5,'Data'!$O$4))</x:f>
      </x:c>
      <x:c r="S115" s="224" t="str">
        <x:f>IF($E115="","",IFERROR(VLOOKUP($E115,'Data'!$A$2:$B$114,2,FALSE),""))</x:f>
      </x:c>
      <x:c r="T115" s="217" t="str">
        <x:f>IF($K115="","",VLOOKUP($K115,'Data'!$I$2:$L$6,2,TRUE))</x:f>
      </x:c>
      <x:c r="U115" s="217"/>
      <x:c r="V115" s="221" t="str">
        <x:f>IF($L115="","",$J115*$L115)</x:f>
      </x:c>
      <x:c r="W115" s="221" t="str">
        <x:f>IF($V115="","",$J115+$V115)</x:f>
      </x:c>
      <x:c r="X115" s="217" t="str">
        <x:f>IF($Y115="Ready","Review and inform supplier","")</x:f>
      </x:c>
      <x:c r="Y115" s="217" t="str">
        <x:f>IF(AND($B115="",$E115="",$I115=""),"",IF($B115="","Missing Assignment Number",IF($E115="","Select Job Title",IF($I115="","Enter Pay Rate",IF($S115="","Job Title not found","Ready")))))</x:f>
      </x:c>
    </x:row>
    <x:row r="116" ht="22" customHeight="1">
      <x:c r="A116" s="205"/>
      <x:c r="B116" s="205"/>
      <x:c r="C116" s="206"/>
      <x:c r="D116" s="205"/>
      <x:c r="E116" s="207"/>
      <x:c r="F116" s="208"/>
      <x:c r="G116" s="209" t="str">
        <x:f>IF($S116="","",IFERROR(VLOOKUP($S116,'Data'!$D$2:$G$14,3,FALSE),""))</x:f>
      </x:c>
      <x:c r="H116" s="210" t="str">
        <x:f>IF($G116="","",$G116/'Data'!$O$2/'Data'!$O$3)</x:f>
      </x:c>
      <x:c r="I116" s="211"/>
      <x:c r="J116" s="209" t="str">
        <x:f>IF(OR($E116="",$I116=""),"",$I116*'Data'!$O$2*'Data'!$O$3)</x:f>
      </x:c>
      <x:c r="K116" s="212" t="str">
        <x:f>IF(OR($J116="",$G116=""),"",$J116/$G116)</x:f>
      </x:c>
      <x:c r="L116" s="213" t="str">
        <x:f>IF($K116="","",VLOOKUP($K116,'Data'!$I$2:$L$6,3,TRUE))</x:f>
      </x:c>
      <x:c r="M116" s="210" t="str">
        <x:f>IF($L116="","",$I116*$L116)</x:f>
      </x:c>
      <x:c r="N116" s="214" t="str">
        <x:f>IF($M116="","",ROUNDDOWN($I116+$M116,2))</x:f>
      </x:c>
      <x:c r="O116" s="210" t="str">
        <x:f>IF($N116="","",ROUNDDOWN(ROUNDDOWN($N116,2)*$R116,3))</x:f>
      </x:c>
      <x:c r="P116" s="215"/>
      <x:c r="Q116" s="222" t="str">
        <x:f>IF($E116="","",IF(OR(RIGHT(UPPER(TRIM(SUBSTITUTE(CLEAN($E116),CHAR(160)," "))),2)="P1",RIGHT(UPPER(TRIM(SUBSTITUTE(CLEAN($E116),CHAR(160)," "))),2)="P2",RIGHT(UPPER(TRIM(SUBSTITUTE(CLEAN($E116),CHAR(160)," "))),2)="P3",RIGHT(UPPER(TRIM(SUBSTITUTE(CLEAN($E116),CHAR(160)," "))),2)="P4",ISNUMBER(SEARCH("INDUSTRIAL HYGIENIST 1 ENVIRONMENT",UPPER(TRIM(SUBSTITUTE(CLEAN($E116),CHAR(160)," ")))))),"PS","GS"))</x:f>
      </x:c>
      <x:c r="R116" s="223" t="str">
        <x:f>IF($Q116="","",IF($Q116="PS",'Data'!$O$5,'Data'!$O$4))</x:f>
      </x:c>
      <x:c r="S116" s="224" t="str">
        <x:f>IF($E116="","",IFERROR(VLOOKUP($E116,'Data'!$A$2:$B$114,2,FALSE),""))</x:f>
      </x:c>
      <x:c r="T116" s="217" t="str">
        <x:f>IF($K116="","",VLOOKUP($K116,'Data'!$I$2:$L$6,2,TRUE))</x:f>
      </x:c>
      <x:c r="U116" s="217"/>
      <x:c r="V116" s="221" t="str">
        <x:f>IF($L116="","",$J116*$L116)</x:f>
      </x:c>
      <x:c r="W116" s="221" t="str">
        <x:f>IF($V116="","",$J116+$V116)</x:f>
      </x:c>
      <x:c r="X116" s="217" t="str">
        <x:f>IF($Y116="Ready","Review and inform supplier","")</x:f>
      </x:c>
      <x:c r="Y116" s="217" t="str">
        <x:f>IF(AND($B116="",$E116="",$I116=""),"",IF($B116="","Missing Assignment Number",IF($E116="","Select Job Title",IF($I116="","Enter Pay Rate",IF($S116="","Job Title not found","Ready")))))</x:f>
      </x:c>
    </x:row>
    <x:row r="117" ht="22" customHeight="1">
      <x:c r="A117" s="205"/>
      <x:c r="B117" s="205"/>
      <x:c r="C117" s="206"/>
      <x:c r="D117" s="205"/>
      <x:c r="E117" s="207"/>
      <x:c r="F117" s="208"/>
      <x:c r="G117" s="209" t="str">
        <x:f>IF($S117="","",IFERROR(VLOOKUP($S117,'Data'!$D$2:$G$14,3,FALSE),""))</x:f>
      </x:c>
      <x:c r="H117" s="210" t="str">
        <x:f>IF($G117="","",$G117/'Data'!$O$2/'Data'!$O$3)</x:f>
      </x:c>
      <x:c r="I117" s="211"/>
      <x:c r="J117" s="209" t="str">
        <x:f>IF(OR($E117="",$I117=""),"",$I117*'Data'!$O$2*'Data'!$O$3)</x:f>
      </x:c>
      <x:c r="K117" s="212" t="str">
        <x:f>IF(OR($J117="",$G117=""),"",$J117/$G117)</x:f>
      </x:c>
      <x:c r="L117" s="213" t="str">
        <x:f>IF($K117="","",VLOOKUP($K117,'Data'!$I$2:$L$6,3,TRUE))</x:f>
      </x:c>
      <x:c r="M117" s="210" t="str">
        <x:f>IF($L117="","",$I117*$L117)</x:f>
      </x:c>
      <x:c r="N117" s="214" t="str">
        <x:f>IF($M117="","",ROUNDDOWN($I117+$M117,2))</x:f>
      </x:c>
      <x:c r="O117" s="210" t="str">
        <x:f>IF($N117="","",ROUNDDOWN(ROUNDDOWN($N117,2)*$R117,3))</x:f>
      </x:c>
      <x:c r="P117" s="215"/>
      <x:c r="Q117" s="222" t="str">
        <x:f>IF($E117="","",IF(OR(RIGHT(UPPER(TRIM(SUBSTITUTE(CLEAN($E117),CHAR(160)," "))),2)="P1",RIGHT(UPPER(TRIM(SUBSTITUTE(CLEAN($E117),CHAR(160)," "))),2)="P2",RIGHT(UPPER(TRIM(SUBSTITUTE(CLEAN($E117),CHAR(160)," "))),2)="P3",RIGHT(UPPER(TRIM(SUBSTITUTE(CLEAN($E117),CHAR(160)," "))),2)="P4",ISNUMBER(SEARCH("INDUSTRIAL HYGIENIST 1 ENVIRONMENT",UPPER(TRIM(SUBSTITUTE(CLEAN($E117),CHAR(160)," ")))))),"PS","GS"))</x:f>
      </x:c>
      <x:c r="R117" s="223" t="str">
        <x:f>IF($Q117="","",IF($Q117="PS",'Data'!$O$5,'Data'!$O$4))</x:f>
      </x:c>
      <x:c r="S117" s="224" t="str">
        <x:f>IF($E117="","",IFERROR(VLOOKUP($E117,'Data'!$A$2:$B$114,2,FALSE),""))</x:f>
      </x:c>
      <x:c r="T117" s="217" t="str">
        <x:f>IF($K117="","",VLOOKUP($K117,'Data'!$I$2:$L$6,2,TRUE))</x:f>
      </x:c>
      <x:c r="U117" s="217"/>
      <x:c r="V117" s="221" t="str">
        <x:f>IF($L117="","",$J117*$L117)</x:f>
      </x:c>
      <x:c r="W117" s="221" t="str">
        <x:f>IF($V117="","",$J117+$V117)</x:f>
      </x:c>
      <x:c r="X117" s="217" t="str">
        <x:f>IF($Y117="Ready","Review and inform supplier","")</x:f>
      </x:c>
      <x:c r="Y117" s="217" t="str">
        <x:f>IF(AND($B117="",$E117="",$I117=""),"",IF($B117="","Missing Assignment Number",IF($E117="","Select Job Title",IF($I117="","Enter Pay Rate",IF($S117="","Job Title not found","Ready")))))</x:f>
      </x:c>
    </x:row>
    <x:row r="118" ht="22" customHeight="1">
      <x:c r="A118" s="205"/>
      <x:c r="B118" s="205"/>
      <x:c r="C118" s="206"/>
      <x:c r="D118" s="205"/>
      <x:c r="E118" s="207"/>
      <x:c r="F118" s="208"/>
      <x:c r="G118" s="209" t="str">
        <x:f>IF($S118="","",IFERROR(VLOOKUP($S118,'Data'!$D$2:$G$14,3,FALSE),""))</x:f>
      </x:c>
      <x:c r="H118" s="210" t="str">
        <x:f>IF($G118="","",$G118/'Data'!$O$2/'Data'!$O$3)</x:f>
      </x:c>
      <x:c r="I118" s="211"/>
      <x:c r="J118" s="209" t="str">
        <x:f>IF(OR($E118="",$I118=""),"",$I118*'Data'!$O$2*'Data'!$O$3)</x:f>
      </x:c>
      <x:c r="K118" s="212" t="str">
        <x:f>IF(OR($J118="",$G118=""),"",$J118/$G118)</x:f>
      </x:c>
      <x:c r="L118" s="213" t="str">
        <x:f>IF($K118="","",VLOOKUP($K118,'Data'!$I$2:$L$6,3,TRUE))</x:f>
      </x:c>
      <x:c r="M118" s="210" t="str">
        <x:f>IF($L118="","",$I118*$L118)</x:f>
      </x:c>
      <x:c r="N118" s="214" t="str">
        <x:f>IF($M118="","",ROUNDDOWN($I118+$M118,2))</x:f>
      </x:c>
      <x:c r="O118" s="210" t="str">
        <x:f>IF($N118="","",ROUNDDOWN(ROUNDDOWN($N118,2)*$R118,3))</x:f>
      </x:c>
      <x:c r="P118" s="215"/>
      <x:c r="Q118" s="222" t="str">
        <x:f>IF($E118="","",IF(OR(RIGHT(UPPER(TRIM(SUBSTITUTE(CLEAN($E118),CHAR(160)," "))),2)="P1",RIGHT(UPPER(TRIM(SUBSTITUTE(CLEAN($E118),CHAR(160)," "))),2)="P2",RIGHT(UPPER(TRIM(SUBSTITUTE(CLEAN($E118),CHAR(160)," "))),2)="P3",RIGHT(UPPER(TRIM(SUBSTITUTE(CLEAN($E118),CHAR(160)," "))),2)="P4",ISNUMBER(SEARCH("INDUSTRIAL HYGIENIST 1 ENVIRONMENT",UPPER(TRIM(SUBSTITUTE(CLEAN($E118),CHAR(160)," ")))))),"PS","GS"))</x:f>
      </x:c>
      <x:c r="R118" s="223" t="str">
        <x:f>IF($Q118="","",IF($Q118="PS",'Data'!$O$5,'Data'!$O$4))</x:f>
      </x:c>
      <x:c r="S118" s="224" t="str">
        <x:f>IF($E118="","",IFERROR(VLOOKUP($E118,'Data'!$A$2:$B$114,2,FALSE),""))</x:f>
      </x:c>
      <x:c r="T118" s="217" t="str">
        <x:f>IF($K118="","",VLOOKUP($K118,'Data'!$I$2:$L$6,2,TRUE))</x:f>
      </x:c>
      <x:c r="U118" s="217"/>
      <x:c r="V118" s="221" t="str">
        <x:f>IF($L118="","",$J118*$L118)</x:f>
      </x:c>
      <x:c r="W118" s="221" t="str">
        <x:f>IF($V118="","",$J118+$V118)</x:f>
      </x:c>
      <x:c r="X118" s="217" t="str">
        <x:f>IF($Y118="Ready","Review and inform supplier","")</x:f>
      </x:c>
      <x:c r="Y118" s="217" t="str">
        <x:f>IF(AND($B118="",$E118="",$I118=""),"",IF($B118="","Missing Assignment Number",IF($E118="","Select Job Title",IF($I118="","Enter Pay Rate",IF($S118="","Job Title not found","Ready")))))</x:f>
      </x:c>
    </x:row>
    <x:row r="119" ht="22" customHeight="1">
      <x:c r="A119" s="205"/>
      <x:c r="B119" s="205"/>
      <x:c r="C119" s="206"/>
      <x:c r="D119" s="205"/>
      <x:c r="E119" s="207"/>
      <x:c r="F119" s="208"/>
      <x:c r="G119" s="209" t="str">
        <x:f>IF($S119="","",IFERROR(VLOOKUP($S119,'Data'!$D$2:$G$14,3,FALSE),""))</x:f>
      </x:c>
      <x:c r="H119" s="210" t="str">
        <x:f>IF($G119="","",$G119/'Data'!$O$2/'Data'!$O$3)</x:f>
      </x:c>
      <x:c r="I119" s="211"/>
      <x:c r="J119" s="209" t="str">
        <x:f>IF(OR($E119="",$I119=""),"",$I119*'Data'!$O$2*'Data'!$O$3)</x:f>
      </x:c>
      <x:c r="K119" s="212" t="str">
        <x:f>IF(OR($J119="",$G119=""),"",$J119/$G119)</x:f>
      </x:c>
      <x:c r="L119" s="213" t="str">
        <x:f>IF($K119="","",VLOOKUP($K119,'Data'!$I$2:$L$6,3,TRUE))</x:f>
      </x:c>
      <x:c r="M119" s="210" t="str">
        <x:f>IF($L119="","",$I119*$L119)</x:f>
      </x:c>
      <x:c r="N119" s="214" t="str">
        <x:f>IF($M119="","",ROUNDDOWN($I119+$M119,2))</x:f>
      </x:c>
      <x:c r="O119" s="210" t="str">
        <x:f>IF($N119="","",ROUNDDOWN(ROUNDDOWN($N119,2)*$R119,3))</x:f>
      </x:c>
      <x:c r="P119" s="215"/>
      <x:c r="Q119" s="222" t="str">
        <x:f>IF($E119="","",IF(OR(RIGHT(UPPER(TRIM(SUBSTITUTE(CLEAN($E119),CHAR(160)," "))),2)="P1",RIGHT(UPPER(TRIM(SUBSTITUTE(CLEAN($E119),CHAR(160)," "))),2)="P2",RIGHT(UPPER(TRIM(SUBSTITUTE(CLEAN($E119),CHAR(160)," "))),2)="P3",RIGHT(UPPER(TRIM(SUBSTITUTE(CLEAN($E119),CHAR(160)," "))),2)="P4",ISNUMBER(SEARCH("INDUSTRIAL HYGIENIST 1 ENVIRONMENT",UPPER(TRIM(SUBSTITUTE(CLEAN($E119),CHAR(160)," ")))))),"PS","GS"))</x:f>
      </x:c>
      <x:c r="R119" s="223" t="str">
        <x:f>IF($Q119="","",IF($Q119="PS",'Data'!$O$5,'Data'!$O$4))</x:f>
      </x:c>
      <x:c r="S119" s="224" t="str">
        <x:f>IF($E119="","",IFERROR(VLOOKUP($E119,'Data'!$A$2:$B$114,2,FALSE),""))</x:f>
      </x:c>
      <x:c r="T119" s="217" t="str">
        <x:f>IF($K119="","",VLOOKUP($K119,'Data'!$I$2:$L$6,2,TRUE))</x:f>
      </x:c>
      <x:c r="U119" s="217"/>
      <x:c r="V119" s="221" t="str">
        <x:f>IF($L119="","",$J119*$L119)</x:f>
      </x:c>
      <x:c r="W119" s="221" t="str">
        <x:f>IF($V119="","",$J119+$V119)</x:f>
      </x:c>
      <x:c r="X119" s="217" t="str">
        <x:f>IF($Y119="Ready","Review and inform supplier","")</x:f>
      </x:c>
      <x:c r="Y119" s="217" t="str">
        <x:f>IF(AND($B119="",$E119="",$I119=""),"",IF($B119="","Missing Assignment Number",IF($E119="","Select Job Title",IF($I119="","Enter Pay Rate",IF($S119="","Job Title not found","Ready")))))</x:f>
      </x:c>
    </x:row>
    <x:row r="120" ht="22" customHeight="1">
      <x:c r="A120" s="205"/>
      <x:c r="B120" s="205"/>
      <x:c r="C120" s="206"/>
      <x:c r="D120" s="205"/>
      <x:c r="E120" s="207"/>
      <x:c r="F120" s="208"/>
      <x:c r="G120" s="209" t="str">
        <x:f>IF($S120="","",IFERROR(VLOOKUP($S120,'Data'!$D$2:$G$14,3,FALSE),""))</x:f>
      </x:c>
      <x:c r="H120" s="210" t="str">
        <x:f>IF($G120="","",$G120/'Data'!$O$2/'Data'!$O$3)</x:f>
      </x:c>
      <x:c r="I120" s="211"/>
      <x:c r="J120" s="209" t="str">
        <x:f>IF(OR($E120="",$I120=""),"",$I120*'Data'!$O$2*'Data'!$O$3)</x:f>
      </x:c>
      <x:c r="K120" s="212" t="str">
        <x:f>IF(OR($J120="",$G120=""),"",$J120/$G120)</x:f>
      </x:c>
      <x:c r="L120" s="213" t="str">
        <x:f>IF($K120="","",VLOOKUP($K120,'Data'!$I$2:$L$6,3,TRUE))</x:f>
      </x:c>
      <x:c r="M120" s="210" t="str">
        <x:f>IF($L120="","",$I120*$L120)</x:f>
      </x:c>
      <x:c r="N120" s="214" t="str">
        <x:f>IF($M120="","",ROUNDDOWN($I120+$M120,2))</x:f>
      </x:c>
      <x:c r="O120" s="210" t="str">
        <x:f>IF($N120="","",ROUNDDOWN(ROUNDDOWN($N120,2)*$R120,3))</x:f>
      </x:c>
      <x:c r="P120" s="215"/>
      <x:c r="Q120" s="222" t="str">
        <x:f>IF($E120="","",IF(OR(RIGHT(UPPER(TRIM(SUBSTITUTE(CLEAN($E120),CHAR(160)," "))),2)="P1",RIGHT(UPPER(TRIM(SUBSTITUTE(CLEAN($E120),CHAR(160)," "))),2)="P2",RIGHT(UPPER(TRIM(SUBSTITUTE(CLEAN($E120),CHAR(160)," "))),2)="P3",RIGHT(UPPER(TRIM(SUBSTITUTE(CLEAN($E120),CHAR(160)," "))),2)="P4",ISNUMBER(SEARCH("INDUSTRIAL HYGIENIST 1 ENVIRONMENT",UPPER(TRIM(SUBSTITUTE(CLEAN($E120),CHAR(160)," ")))))),"PS","GS"))</x:f>
      </x:c>
      <x:c r="R120" s="223" t="str">
        <x:f>IF($Q120="","",IF($Q120="PS",'Data'!$O$5,'Data'!$O$4))</x:f>
      </x:c>
      <x:c r="S120" s="224" t="str">
        <x:f>IF($E120="","",IFERROR(VLOOKUP($E120,'Data'!$A$2:$B$114,2,FALSE),""))</x:f>
      </x:c>
      <x:c r="T120" s="217" t="str">
        <x:f>IF($K120="","",VLOOKUP($K120,'Data'!$I$2:$L$6,2,TRUE))</x:f>
      </x:c>
      <x:c r="U120" s="217"/>
      <x:c r="V120" s="221" t="str">
        <x:f>IF($L120="","",$J120*$L120)</x:f>
      </x:c>
      <x:c r="W120" s="221" t="str">
        <x:f>IF($V120="","",$J120+$V120)</x:f>
      </x:c>
      <x:c r="X120" s="217" t="str">
        <x:f>IF($Y120="Ready","Review and inform supplier","")</x:f>
      </x:c>
      <x:c r="Y120" s="217" t="str">
        <x:f>IF(AND($B120="",$E120="",$I120=""),"",IF($B120="","Missing Assignment Number",IF($E120="","Select Job Title",IF($I120="","Enter Pay Rate",IF($S120="","Job Title not found","Ready")))))</x:f>
      </x:c>
    </x:row>
    <x:row r="121" ht="22" customHeight="1">
      <x:c r="A121" s="205"/>
      <x:c r="B121" s="205"/>
      <x:c r="C121" s="206"/>
      <x:c r="D121" s="205"/>
      <x:c r="E121" s="207"/>
      <x:c r="F121" s="208"/>
      <x:c r="G121" s="209" t="str">
        <x:f>IF($S121="","",IFERROR(VLOOKUP($S121,'Data'!$D$2:$G$14,3,FALSE),""))</x:f>
      </x:c>
      <x:c r="H121" s="210" t="str">
        <x:f>IF($G121="","",$G121/'Data'!$O$2/'Data'!$O$3)</x:f>
      </x:c>
      <x:c r="I121" s="211"/>
      <x:c r="J121" s="209" t="str">
        <x:f>IF(OR($E121="",$I121=""),"",$I121*'Data'!$O$2*'Data'!$O$3)</x:f>
      </x:c>
      <x:c r="K121" s="212" t="str">
        <x:f>IF(OR($J121="",$G121=""),"",$J121/$G121)</x:f>
      </x:c>
      <x:c r="L121" s="213" t="str">
        <x:f>IF($K121="","",VLOOKUP($K121,'Data'!$I$2:$L$6,3,TRUE))</x:f>
      </x:c>
      <x:c r="M121" s="210" t="str">
        <x:f>IF($L121="","",$I121*$L121)</x:f>
      </x:c>
      <x:c r="N121" s="214" t="str">
        <x:f>IF($M121="","",ROUNDDOWN($I121+$M121,2))</x:f>
      </x:c>
      <x:c r="O121" s="210" t="str">
        <x:f>IF($N121="","",ROUNDDOWN(ROUNDDOWN($N121,2)*$R121,3))</x:f>
      </x:c>
      <x:c r="P121" s="215"/>
      <x:c r="Q121" s="222" t="str">
        <x:f>IF($E121="","",IF(OR(RIGHT(UPPER(TRIM(SUBSTITUTE(CLEAN($E121),CHAR(160)," "))),2)="P1",RIGHT(UPPER(TRIM(SUBSTITUTE(CLEAN($E121),CHAR(160)," "))),2)="P2",RIGHT(UPPER(TRIM(SUBSTITUTE(CLEAN($E121),CHAR(160)," "))),2)="P3",RIGHT(UPPER(TRIM(SUBSTITUTE(CLEAN($E121),CHAR(160)," "))),2)="P4",ISNUMBER(SEARCH("INDUSTRIAL HYGIENIST 1 ENVIRONMENT",UPPER(TRIM(SUBSTITUTE(CLEAN($E121),CHAR(160)," ")))))),"PS","GS"))</x:f>
      </x:c>
      <x:c r="R121" s="223" t="str">
        <x:f>IF($Q121="","",IF($Q121="PS",'Data'!$O$5,'Data'!$O$4))</x:f>
      </x:c>
      <x:c r="S121" s="224" t="str">
        <x:f>IF($E121="","",IFERROR(VLOOKUP($E121,'Data'!$A$2:$B$114,2,FALSE),""))</x:f>
      </x:c>
      <x:c r="T121" s="217" t="str">
        <x:f>IF($K121="","",VLOOKUP($K121,'Data'!$I$2:$L$6,2,TRUE))</x:f>
      </x:c>
      <x:c r="U121" s="217"/>
      <x:c r="V121" s="221" t="str">
        <x:f>IF($L121="","",$J121*$L121)</x:f>
      </x:c>
      <x:c r="W121" s="221" t="str">
        <x:f>IF($V121="","",$J121+$V121)</x:f>
      </x:c>
      <x:c r="X121" s="217" t="str">
        <x:f>IF($Y121="Ready","Review and inform supplier","")</x:f>
      </x:c>
      <x:c r="Y121" s="217" t="str">
        <x:f>IF(AND($B121="",$E121="",$I121=""),"",IF($B121="","Missing Assignment Number",IF($E121="","Select Job Title",IF($I121="","Enter Pay Rate",IF($S121="","Job Title not found","Ready")))))</x:f>
      </x:c>
    </x:row>
    <x:row r="122" ht="22" customHeight="1">
      <x:c r="A122" s="205"/>
      <x:c r="B122" s="205"/>
      <x:c r="C122" s="206"/>
      <x:c r="D122" s="205"/>
      <x:c r="E122" s="207"/>
      <x:c r="F122" s="208"/>
      <x:c r="G122" s="209" t="str">
        <x:f>IF($S122="","",IFERROR(VLOOKUP($S122,'Data'!$D$2:$G$14,3,FALSE),""))</x:f>
      </x:c>
      <x:c r="H122" s="210" t="str">
        <x:f>IF($G122="","",$G122/'Data'!$O$2/'Data'!$O$3)</x:f>
      </x:c>
      <x:c r="I122" s="211"/>
      <x:c r="J122" s="209" t="str">
        <x:f>IF(OR($E122="",$I122=""),"",$I122*'Data'!$O$2*'Data'!$O$3)</x:f>
      </x:c>
      <x:c r="K122" s="212" t="str">
        <x:f>IF(OR($J122="",$G122=""),"",$J122/$G122)</x:f>
      </x:c>
      <x:c r="L122" s="213" t="str">
        <x:f>IF($K122="","",VLOOKUP($K122,'Data'!$I$2:$L$6,3,TRUE))</x:f>
      </x:c>
      <x:c r="M122" s="210" t="str">
        <x:f>IF($L122="","",$I122*$L122)</x:f>
      </x:c>
      <x:c r="N122" s="214" t="str">
        <x:f>IF($M122="","",ROUNDDOWN($I122+$M122,2))</x:f>
      </x:c>
      <x:c r="O122" s="210" t="str">
        <x:f>IF($N122="","",ROUNDDOWN(ROUNDDOWN($N122,2)*$R122,3))</x:f>
      </x:c>
      <x:c r="P122" s="215"/>
      <x:c r="Q122" s="222" t="str">
        <x:f>IF($E122="","",IF(OR(RIGHT(UPPER(TRIM(SUBSTITUTE(CLEAN($E122),CHAR(160)," "))),2)="P1",RIGHT(UPPER(TRIM(SUBSTITUTE(CLEAN($E122),CHAR(160)," "))),2)="P2",RIGHT(UPPER(TRIM(SUBSTITUTE(CLEAN($E122),CHAR(160)," "))),2)="P3",RIGHT(UPPER(TRIM(SUBSTITUTE(CLEAN($E122),CHAR(160)," "))),2)="P4",ISNUMBER(SEARCH("INDUSTRIAL HYGIENIST 1 ENVIRONMENT",UPPER(TRIM(SUBSTITUTE(CLEAN($E122),CHAR(160)," ")))))),"PS","GS"))</x:f>
      </x:c>
      <x:c r="R122" s="223" t="str">
        <x:f>IF($Q122="","",IF($Q122="PS",'Data'!$O$5,'Data'!$O$4))</x:f>
      </x:c>
      <x:c r="S122" s="224" t="str">
        <x:f>IF($E122="","",IFERROR(VLOOKUP($E122,'Data'!$A$2:$B$114,2,FALSE),""))</x:f>
      </x:c>
      <x:c r="T122" s="217" t="str">
        <x:f>IF($K122="","",VLOOKUP($K122,'Data'!$I$2:$L$6,2,TRUE))</x:f>
      </x:c>
      <x:c r="U122" s="217"/>
      <x:c r="V122" s="221" t="str">
        <x:f>IF($L122="","",$J122*$L122)</x:f>
      </x:c>
      <x:c r="W122" s="221" t="str">
        <x:f>IF($V122="","",$J122+$V122)</x:f>
      </x:c>
      <x:c r="X122" s="217" t="str">
        <x:f>IF($Y122="Ready","Review and inform supplier","")</x:f>
      </x:c>
      <x:c r="Y122" s="217" t="str">
        <x:f>IF(AND($B122="",$E122="",$I122=""),"",IF($B122="","Missing Assignment Number",IF($E122="","Select Job Title",IF($I122="","Enter Pay Rate",IF($S122="","Job Title not found","Ready")))))</x:f>
      </x:c>
    </x:row>
    <x:row r="123" ht="22" customHeight="1">
      <x:c r="A123" s="205"/>
      <x:c r="B123" s="205"/>
      <x:c r="C123" s="206"/>
      <x:c r="D123" s="205"/>
      <x:c r="E123" s="207"/>
      <x:c r="F123" s="208"/>
      <x:c r="G123" s="209" t="str">
        <x:f>IF($S123="","",IFERROR(VLOOKUP($S123,'Data'!$D$2:$G$14,3,FALSE),""))</x:f>
      </x:c>
      <x:c r="H123" s="210" t="str">
        <x:f>IF($G123="","",$G123/'Data'!$O$2/'Data'!$O$3)</x:f>
      </x:c>
      <x:c r="I123" s="211"/>
      <x:c r="J123" s="209" t="str">
        <x:f>IF(OR($E123="",$I123=""),"",$I123*'Data'!$O$2*'Data'!$O$3)</x:f>
      </x:c>
      <x:c r="K123" s="212" t="str">
        <x:f>IF(OR($J123="",$G123=""),"",$J123/$G123)</x:f>
      </x:c>
      <x:c r="L123" s="213" t="str">
        <x:f>IF($K123="","",VLOOKUP($K123,'Data'!$I$2:$L$6,3,TRUE))</x:f>
      </x:c>
      <x:c r="M123" s="210" t="str">
        <x:f>IF($L123="","",$I123*$L123)</x:f>
      </x:c>
      <x:c r="N123" s="214" t="str">
        <x:f>IF($M123="","",ROUNDDOWN($I123+$M123,2))</x:f>
      </x:c>
      <x:c r="O123" s="210" t="str">
        <x:f>IF($N123="","",ROUNDDOWN(ROUNDDOWN($N123,2)*$R123,3))</x:f>
      </x:c>
      <x:c r="P123" s="215"/>
      <x:c r="Q123" s="222" t="str">
        <x:f>IF($E123="","",IF(OR(RIGHT(UPPER(TRIM(SUBSTITUTE(CLEAN($E123),CHAR(160)," "))),2)="P1",RIGHT(UPPER(TRIM(SUBSTITUTE(CLEAN($E123),CHAR(160)," "))),2)="P2",RIGHT(UPPER(TRIM(SUBSTITUTE(CLEAN($E123),CHAR(160)," "))),2)="P3",RIGHT(UPPER(TRIM(SUBSTITUTE(CLEAN($E123),CHAR(160)," "))),2)="P4",ISNUMBER(SEARCH("INDUSTRIAL HYGIENIST 1 ENVIRONMENT",UPPER(TRIM(SUBSTITUTE(CLEAN($E123),CHAR(160)," ")))))),"PS","GS"))</x:f>
      </x:c>
      <x:c r="R123" s="223" t="str">
        <x:f>IF($Q123="","",IF($Q123="PS",'Data'!$O$5,'Data'!$O$4))</x:f>
      </x:c>
      <x:c r="S123" s="224" t="str">
        <x:f>IF($E123="","",IFERROR(VLOOKUP($E123,'Data'!$A$2:$B$114,2,FALSE),""))</x:f>
      </x:c>
      <x:c r="T123" s="217" t="str">
        <x:f>IF($K123="","",VLOOKUP($K123,'Data'!$I$2:$L$6,2,TRUE))</x:f>
      </x:c>
      <x:c r="U123" s="217"/>
      <x:c r="V123" s="221" t="str">
        <x:f>IF($L123="","",$J123*$L123)</x:f>
      </x:c>
      <x:c r="W123" s="221" t="str">
        <x:f>IF($V123="","",$J123+$V123)</x:f>
      </x:c>
      <x:c r="X123" s="217" t="str">
        <x:f>IF($Y123="Ready","Review and inform supplier","")</x:f>
      </x:c>
      <x:c r="Y123" s="217" t="str">
        <x:f>IF(AND($B123="",$E123="",$I123=""),"",IF($B123="","Missing Assignment Number",IF($E123="","Select Job Title",IF($I123="","Enter Pay Rate",IF($S123="","Job Title not found","Ready")))))</x:f>
      </x:c>
    </x:row>
    <x:row r="124" ht="22" customHeight="1">
      <x:c r="A124" s="205"/>
      <x:c r="B124" s="205"/>
      <x:c r="C124" s="206"/>
      <x:c r="D124" s="205"/>
      <x:c r="E124" s="207"/>
      <x:c r="F124" s="208"/>
      <x:c r="G124" s="209" t="str">
        <x:f>IF($S124="","",IFERROR(VLOOKUP($S124,'Data'!$D$2:$G$14,3,FALSE),""))</x:f>
      </x:c>
      <x:c r="H124" s="210" t="str">
        <x:f>IF($G124="","",$G124/'Data'!$O$2/'Data'!$O$3)</x:f>
      </x:c>
      <x:c r="I124" s="211"/>
      <x:c r="J124" s="209" t="str">
        <x:f>IF(OR($E124="",$I124=""),"",$I124*'Data'!$O$2*'Data'!$O$3)</x:f>
      </x:c>
      <x:c r="K124" s="212" t="str">
        <x:f>IF(OR($J124="",$G124=""),"",$J124/$G124)</x:f>
      </x:c>
      <x:c r="L124" s="213" t="str">
        <x:f>IF($K124="","",VLOOKUP($K124,'Data'!$I$2:$L$6,3,TRUE))</x:f>
      </x:c>
      <x:c r="M124" s="210" t="str">
        <x:f>IF($L124="","",$I124*$L124)</x:f>
      </x:c>
      <x:c r="N124" s="214" t="str">
        <x:f>IF($M124="","",ROUNDDOWN($I124+$M124,2))</x:f>
      </x:c>
      <x:c r="O124" s="210" t="str">
        <x:f>IF($N124="","",ROUNDDOWN(ROUNDDOWN($N124,2)*$R124,3))</x:f>
      </x:c>
      <x:c r="P124" s="215"/>
      <x:c r="Q124" s="222" t="str">
        <x:f>IF($E124="","",IF(OR(RIGHT(UPPER(TRIM(SUBSTITUTE(CLEAN($E124),CHAR(160)," "))),2)="P1",RIGHT(UPPER(TRIM(SUBSTITUTE(CLEAN($E124),CHAR(160)," "))),2)="P2",RIGHT(UPPER(TRIM(SUBSTITUTE(CLEAN($E124),CHAR(160)," "))),2)="P3",RIGHT(UPPER(TRIM(SUBSTITUTE(CLEAN($E124),CHAR(160)," "))),2)="P4",ISNUMBER(SEARCH("INDUSTRIAL HYGIENIST 1 ENVIRONMENT",UPPER(TRIM(SUBSTITUTE(CLEAN($E124),CHAR(160)," ")))))),"PS","GS"))</x:f>
      </x:c>
      <x:c r="R124" s="223" t="str">
        <x:f>IF($Q124="","",IF($Q124="PS",'Data'!$O$5,'Data'!$O$4))</x:f>
      </x:c>
      <x:c r="S124" s="224" t="str">
        <x:f>IF($E124="","",IFERROR(VLOOKUP($E124,'Data'!$A$2:$B$114,2,FALSE),""))</x:f>
      </x:c>
      <x:c r="T124" s="217" t="str">
        <x:f>IF($K124="","",VLOOKUP($K124,'Data'!$I$2:$L$6,2,TRUE))</x:f>
      </x:c>
      <x:c r="U124" s="217"/>
      <x:c r="V124" s="221" t="str">
        <x:f>IF($L124="","",$J124*$L124)</x:f>
      </x:c>
      <x:c r="W124" s="221" t="str">
        <x:f>IF($V124="","",$J124+$V124)</x:f>
      </x:c>
      <x:c r="X124" s="217" t="str">
        <x:f>IF($Y124="Ready","Review and inform supplier","")</x:f>
      </x:c>
      <x:c r="Y124" s="217" t="str">
        <x:f>IF(AND($B124="",$E124="",$I124=""),"",IF($B124="","Missing Assignment Number",IF($E124="","Select Job Title",IF($I124="","Enter Pay Rate",IF($S124="","Job Title not found","Ready")))))</x:f>
      </x:c>
    </x:row>
    <x:row r="125" ht="22" customHeight="1">
      <x:c r="A125" s="205"/>
      <x:c r="B125" s="205"/>
      <x:c r="C125" s="206"/>
      <x:c r="D125" s="205"/>
      <x:c r="E125" s="207"/>
      <x:c r="F125" s="208"/>
      <x:c r="G125" s="209" t="str">
        <x:f>IF($S125="","",IFERROR(VLOOKUP($S125,'Data'!$D$2:$G$14,3,FALSE),""))</x:f>
      </x:c>
      <x:c r="H125" s="210" t="str">
        <x:f>IF($G125="","",$G125/'Data'!$O$2/'Data'!$O$3)</x:f>
      </x:c>
      <x:c r="I125" s="211"/>
      <x:c r="J125" s="209" t="str">
        <x:f>IF(OR($E125="",$I125=""),"",$I125*'Data'!$O$2*'Data'!$O$3)</x:f>
      </x:c>
      <x:c r="K125" s="212" t="str">
        <x:f>IF(OR($J125="",$G125=""),"",$J125/$G125)</x:f>
      </x:c>
      <x:c r="L125" s="213" t="str">
        <x:f>IF($K125="","",VLOOKUP($K125,'Data'!$I$2:$L$6,3,TRUE))</x:f>
      </x:c>
      <x:c r="M125" s="210" t="str">
        <x:f>IF($L125="","",$I125*$L125)</x:f>
      </x:c>
      <x:c r="N125" s="214" t="str">
        <x:f>IF($M125="","",ROUNDDOWN($I125+$M125,2))</x:f>
      </x:c>
      <x:c r="O125" s="210" t="str">
        <x:f>IF($N125="","",ROUNDDOWN(ROUNDDOWN($N125,2)*$R125,3))</x:f>
      </x:c>
      <x:c r="P125" s="215"/>
      <x:c r="Q125" s="222" t="str">
        <x:f>IF($E125="","",IF(OR(RIGHT(UPPER(TRIM(SUBSTITUTE(CLEAN($E125),CHAR(160)," "))),2)="P1",RIGHT(UPPER(TRIM(SUBSTITUTE(CLEAN($E125),CHAR(160)," "))),2)="P2",RIGHT(UPPER(TRIM(SUBSTITUTE(CLEAN($E125),CHAR(160)," "))),2)="P3",RIGHT(UPPER(TRIM(SUBSTITUTE(CLEAN($E125),CHAR(160)," "))),2)="P4",ISNUMBER(SEARCH("INDUSTRIAL HYGIENIST 1 ENVIRONMENT",UPPER(TRIM(SUBSTITUTE(CLEAN($E125),CHAR(160)," ")))))),"PS","GS"))</x:f>
      </x:c>
      <x:c r="R125" s="223" t="str">
        <x:f>IF($Q125="","",IF($Q125="PS",'Data'!$O$5,'Data'!$O$4))</x:f>
      </x:c>
      <x:c r="S125" s="224" t="str">
        <x:f>IF($E125="","",IFERROR(VLOOKUP($E125,'Data'!$A$2:$B$114,2,FALSE),""))</x:f>
      </x:c>
      <x:c r="T125" s="217" t="str">
        <x:f>IF($K125="","",VLOOKUP($K125,'Data'!$I$2:$L$6,2,TRUE))</x:f>
      </x:c>
      <x:c r="U125" s="217"/>
      <x:c r="V125" s="221" t="str">
        <x:f>IF($L125="","",$J125*$L125)</x:f>
      </x:c>
      <x:c r="W125" s="221" t="str">
        <x:f>IF($V125="","",$J125+$V125)</x:f>
      </x:c>
      <x:c r="X125" s="217" t="str">
        <x:f>IF($Y125="Ready","Review and inform supplier","")</x:f>
      </x:c>
      <x:c r="Y125" s="217" t="str">
        <x:f>IF(AND($B125="",$E125="",$I125=""),"",IF($B125="","Missing Assignment Number",IF($E125="","Select Job Title",IF($I125="","Enter Pay Rate",IF($S125="","Job Title not found","Ready")))))</x:f>
      </x:c>
    </x:row>
    <x:row r="126" ht="22" customHeight="1">
      <x:c r="A126" s="205"/>
      <x:c r="B126" s="205"/>
      <x:c r="C126" s="206"/>
      <x:c r="D126" s="205"/>
      <x:c r="E126" s="207"/>
      <x:c r="F126" s="208"/>
      <x:c r="G126" s="209" t="str">
        <x:f>IF($S126="","",IFERROR(VLOOKUP($S126,'Data'!$D$2:$G$14,3,FALSE),""))</x:f>
      </x:c>
      <x:c r="H126" s="210" t="str">
        <x:f>IF($G126="","",$G126/'Data'!$O$2/'Data'!$O$3)</x:f>
      </x:c>
      <x:c r="I126" s="211"/>
      <x:c r="J126" s="209" t="str">
        <x:f>IF(OR($E126="",$I126=""),"",$I126*'Data'!$O$2*'Data'!$O$3)</x:f>
      </x:c>
      <x:c r="K126" s="212" t="str">
        <x:f>IF(OR($J126="",$G126=""),"",$J126/$G126)</x:f>
      </x:c>
      <x:c r="L126" s="213" t="str">
        <x:f>IF($K126="","",VLOOKUP($K126,'Data'!$I$2:$L$6,3,TRUE))</x:f>
      </x:c>
      <x:c r="M126" s="210" t="str">
        <x:f>IF($L126="","",$I126*$L126)</x:f>
      </x:c>
      <x:c r="N126" s="214" t="str">
        <x:f>IF($M126="","",ROUNDDOWN($I126+$M126,2))</x:f>
      </x:c>
      <x:c r="O126" s="210" t="str">
        <x:f>IF($N126="","",ROUNDDOWN(ROUNDDOWN($N126,2)*$R126,3))</x:f>
      </x:c>
      <x:c r="P126" s="215"/>
      <x:c r="Q126" s="222" t="str">
        <x:f>IF($E126="","",IF(OR(RIGHT(UPPER(TRIM(SUBSTITUTE(CLEAN($E126),CHAR(160)," "))),2)="P1",RIGHT(UPPER(TRIM(SUBSTITUTE(CLEAN($E126),CHAR(160)," "))),2)="P2",RIGHT(UPPER(TRIM(SUBSTITUTE(CLEAN($E126),CHAR(160)," "))),2)="P3",RIGHT(UPPER(TRIM(SUBSTITUTE(CLEAN($E126),CHAR(160)," "))),2)="P4",ISNUMBER(SEARCH("INDUSTRIAL HYGIENIST 1 ENVIRONMENT",UPPER(TRIM(SUBSTITUTE(CLEAN($E126),CHAR(160)," ")))))),"PS","GS"))</x:f>
      </x:c>
      <x:c r="R126" s="223" t="str">
        <x:f>IF($Q126="","",IF($Q126="PS",'Data'!$O$5,'Data'!$O$4))</x:f>
      </x:c>
      <x:c r="S126" s="224" t="str">
        <x:f>IF($E126="","",IFERROR(VLOOKUP($E126,'Data'!$A$2:$B$114,2,FALSE),""))</x:f>
      </x:c>
      <x:c r="T126" s="217" t="str">
        <x:f>IF($K126="","",VLOOKUP($K126,'Data'!$I$2:$L$6,2,TRUE))</x:f>
      </x:c>
      <x:c r="U126" s="217"/>
      <x:c r="V126" s="221" t="str">
        <x:f>IF($L126="","",$J126*$L126)</x:f>
      </x:c>
      <x:c r="W126" s="221" t="str">
        <x:f>IF($V126="","",$J126+$V126)</x:f>
      </x:c>
      <x:c r="X126" s="217" t="str">
        <x:f>IF($Y126="Ready","Review and inform supplier","")</x:f>
      </x:c>
      <x:c r="Y126" s="217" t="str">
        <x:f>IF(AND($B126="",$E126="",$I126=""),"",IF($B126="","Missing Assignment Number",IF($E126="","Select Job Title",IF($I126="","Enter Pay Rate",IF($S126="","Job Title not found","Ready")))))</x:f>
      </x:c>
    </x:row>
    <x:row r="127" ht="22" customHeight="1">
      <x:c r="A127" s="205"/>
      <x:c r="B127" s="205"/>
      <x:c r="C127" s="206"/>
      <x:c r="D127" s="205"/>
      <x:c r="E127" s="207"/>
      <x:c r="F127" s="208"/>
      <x:c r="G127" s="209" t="str">
        <x:f>IF($S127="","",IFERROR(VLOOKUP($S127,'Data'!$D$2:$G$14,3,FALSE),""))</x:f>
      </x:c>
      <x:c r="H127" s="210" t="str">
        <x:f>IF($G127="","",$G127/'Data'!$O$2/'Data'!$O$3)</x:f>
      </x:c>
      <x:c r="I127" s="211"/>
      <x:c r="J127" s="209" t="str">
        <x:f>IF(OR($E127="",$I127=""),"",$I127*'Data'!$O$2*'Data'!$O$3)</x:f>
      </x:c>
      <x:c r="K127" s="212" t="str">
        <x:f>IF(OR($J127="",$G127=""),"",$J127/$G127)</x:f>
      </x:c>
      <x:c r="L127" s="213" t="str">
        <x:f>IF($K127="","",VLOOKUP($K127,'Data'!$I$2:$L$6,3,TRUE))</x:f>
      </x:c>
      <x:c r="M127" s="210" t="str">
        <x:f>IF($L127="","",$I127*$L127)</x:f>
      </x:c>
      <x:c r="N127" s="214" t="str">
        <x:f>IF($M127="","",ROUNDDOWN($I127+$M127,2))</x:f>
      </x:c>
      <x:c r="O127" s="210" t="str">
        <x:f>IF($N127="","",ROUNDDOWN(ROUNDDOWN($N127,2)*$R127,3))</x:f>
      </x:c>
      <x:c r="P127" s="215"/>
      <x:c r="Q127" s="222" t="str">
        <x:f>IF($E127="","",IF(OR(RIGHT(UPPER(TRIM(SUBSTITUTE(CLEAN($E127),CHAR(160)," "))),2)="P1",RIGHT(UPPER(TRIM(SUBSTITUTE(CLEAN($E127),CHAR(160)," "))),2)="P2",RIGHT(UPPER(TRIM(SUBSTITUTE(CLEAN($E127),CHAR(160)," "))),2)="P3",RIGHT(UPPER(TRIM(SUBSTITUTE(CLEAN($E127),CHAR(160)," "))),2)="P4",ISNUMBER(SEARCH("INDUSTRIAL HYGIENIST 1 ENVIRONMENT",UPPER(TRIM(SUBSTITUTE(CLEAN($E127),CHAR(160)," ")))))),"PS","GS"))</x:f>
      </x:c>
      <x:c r="R127" s="223" t="str">
        <x:f>IF($Q127="","",IF($Q127="PS",'Data'!$O$5,'Data'!$O$4))</x:f>
      </x:c>
      <x:c r="S127" s="224" t="str">
        <x:f>IF($E127="","",IFERROR(VLOOKUP($E127,'Data'!$A$2:$B$114,2,FALSE),""))</x:f>
      </x:c>
      <x:c r="T127" s="217" t="str">
        <x:f>IF($K127="","",VLOOKUP($K127,'Data'!$I$2:$L$6,2,TRUE))</x:f>
      </x:c>
      <x:c r="U127" s="217"/>
      <x:c r="V127" s="221" t="str">
        <x:f>IF($L127="","",$J127*$L127)</x:f>
      </x:c>
      <x:c r="W127" s="221" t="str">
        <x:f>IF($V127="","",$J127+$V127)</x:f>
      </x:c>
      <x:c r="X127" s="217" t="str">
        <x:f>IF($Y127="Ready","Review and inform supplier","")</x:f>
      </x:c>
      <x:c r="Y127" s="217" t="str">
        <x:f>IF(AND($B127="",$E127="",$I127=""),"",IF($B127="","Missing Assignment Number",IF($E127="","Select Job Title",IF($I127="","Enter Pay Rate",IF($S127="","Job Title not found","Ready")))))</x:f>
      </x:c>
    </x:row>
    <x:row r="128" ht="22" customHeight="1">
      <x:c r="A128" s="205"/>
      <x:c r="B128" s="205"/>
      <x:c r="C128" s="206"/>
      <x:c r="D128" s="205"/>
      <x:c r="E128" s="207"/>
      <x:c r="F128" s="208"/>
      <x:c r="G128" s="209" t="str">
        <x:f>IF($S128="","",IFERROR(VLOOKUP($S128,'Data'!$D$2:$G$14,3,FALSE),""))</x:f>
      </x:c>
      <x:c r="H128" s="210" t="str">
        <x:f>IF($G128="","",$G128/'Data'!$O$2/'Data'!$O$3)</x:f>
      </x:c>
      <x:c r="I128" s="211"/>
      <x:c r="J128" s="209" t="str">
        <x:f>IF(OR($E128="",$I128=""),"",$I128*'Data'!$O$2*'Data'!$O$3)</x:f>
      </x:c>
      <x:c r="K128" s="212" t="str">
        <x:f>IF(OR($J128="",$G128=""),"",$J128/$G128)</x:f>
      </x:c>
      <x:c r="L128" s="213" t="str">
        <x:f>IF($K128="","",VLOOKUP($K128,'Data'!$I$2:$L$6,3,TRUE))</x:f>
      </x:c>
      <x:c r="M128" s="210" t="str">
        <x:f>IF($L128="","",$I128*$L128)</x:f>
      </x:c>
      <x:c r="N128" s="214" t="str">
        <x:f>IF($M128="","",ROUNDDOWN($I128+$M128,2))</x:f>
      </x:c>
      <x:c r="O128" s="210" t="str">
        <x:f>IF($N128="","",ROUNDDOWN(ROUNDDOWN($N128,2)*$R128,3))</x:f>
      </x:c>
      <x:c r="P128" s="215"/>
      <x:c r="Q128" s="222" t="str">
        <x:f>IF($E128="","",IF(OR(RIGHT(UPPER(TRIM(SUBSTITUTE(CLEAN($E128),CHAR(160)," "))),2)="P1",RIGHT(UPPER(TRIM(SUBSTITUTE(CLEAN($E128),CHAR(160)," "))),2)="P2",RIGHT(UPPER(TRIM(SUBSTITUTE(CLEAN($E128),CHAR(160)," "))),2)="P3",RIGHT(UPPER(TRIM(SUBSTITUTE(CLEAN($E128),CHAR(160)," "))),2)="P4",ISNUMBER(SEARCH("INDUSTRIAL HYGIENIST 1 ENVIRONMENT",UPPER(TRIM(SUBSTITUTE(CLEAN($E128),CHAR(160)," ")))))),"PS","GS"))</x:f>
      </x:c>
      <x:c r="R128" s="223" t="str">
        <x:f>IF($Q128="","",IF($Q128="PS",'Data'!$O$5,'Data'!$O$4))</x:f>
      </x:c>
      <x:c r="S128" s="224" t="str">
        <x:f>IF($E128="","",IFERROR(VLOOKUP($E128,'Data'!$A$2:$B$114,2,FALSE),""))</x:f>
      </x:c>
      <x:c r="T128" s="217" t="str">
        <x:f>IF($K128="","",VLOOKUP($K128,'Data'!$I$2:$L$6,2,TRUE))</x:f>
      </x:c>
      <x:c r="U128" s="217"/>
      <x:c r="V128" s="221" t="str">
        <x:f>IF($L128="","",$J128*$L128)</x:f>
      </x:c>
      <x:c r="W128" s="221" t="str">
        <x:f>IF($V128="","",$J128+$V128)</x:f>
      </x:c>
      <x:c r="X128" s="217" t="str">
        <x:f>IF($Y128="Ready","Review and inform supplier","")</x:f>
      </x:c>
      <x:c r="Y128" s="217" t="str">
        <x:f>IF(AND($B128="",$E128="",$I128=""),"",IF($B128="","Missing Assignment Number",IF($E128="","Select Job Title",IF($I128="","Enter Pay Rate",IF($S128="","Job Title not found","Ready")))))</x:f>
      </x:c>
    </x:row>
    <x:row r="129" ht="22" customHeight="1">
      <x:c r="A129" s="205"/>
      <x:c r="B129" s="205"/>
      <x:c r="C129" s="206"/>
      <x:c r="D129" s="205"/>
      <x:c r="E129" s="207"/>
      <x:c r="F129" s="208"/>
      <x:c r="G129" s="209" t="str">
        <x:f>IF($S129="","",IFERROR(VLOOKUP($S129,'Data'!$D$2:$G$14,3,FALSE),""))</x:f>
      </x:c>
      <x:c r="H129" s="210" t="str">
        <x:f>IF($G129="","",$G129/'Data'!$O$2/'Data'!$O$3)</x:f>
      </x:c>
      <x:c r="I129" s="211"/>
      <x:c r="J129" s="209" t="str">
        <x:f>IF(OR($E129="",$I129=""),"",$I129*'Data'!$O$2*'Data'!$O$3)</x:f>
      </x:c>
      <x:c r="K129" s="212" t="str">
        <x:f>IF(OR($J129="",$G129=""),"",$J129/$G129)</x:f>
      </x:c>
      <x:c r="L129" s="213" t="str">
        <x:f>IF($K129="","",VLOOKUP($K129,'Data'!$I$2:$L$6,3,TRUE))</x:f>
      </x:c>
      <x:c r="M129" s="210" t="str">
        <x:f>IF($L129="","",$I129*$L129)</x:f>
      </x:c>
      <x:c r="N129" s="214" t="str">
        <x:f>IF($M129="","",ROUNDDOWN($I129+$M129,2))</x:f>
      </x:c>
      <x:c r="O129" s="210" t="str">
        <x:f>IF($N129="","",ROUNDDOWN(ROUNDDOWN($N129,2)*$R129,3))</x:f>
      </x:c>
      <x:c r="P129" s="215"/>
      <x:c r="Q129" s="222" t="str">
        <x:f>IF($E129="","",IF(OR(RIGHT(UPPER(TRIM(SUBSTITUTE(CLEAN($E129),CHAR(160)," "))),2)="P1",RIGHT(UPPER(TRIM(SUBSTITUTE(CLEAN($E129),CHAR(160)," "))),2)="P2",RIGHT(UPPER(TRIM(SUBSTITUTE(CLEAN($E129),CHAR(160)," "))),2)="P3",RIGHT(UPPER(TRIM(SUBSTITUTE(CLEAN($E129),CHAR(160)," "))),2)="P4",ISNUMBER(SEARCH("INDUSTRIAL HYGIENIST 1 ENVIRONMENT",UPPER(TRIM(SUBSTITUTE(CLEAN($E129),CHAR(160)," ")))))),"PS","GS"))</x:f>
      </x:c>
      <x:c r="R129" s="223" t="str">
        <x:f>IF($Q129="","",IF($Q129="PS",'Data'!$O$5,'Data'!$O$4))</x:f>
      </x:c>
      <x:c r="S129" s="224" t="str">
        <x:f>IF($E129="","",IFERROR(VLOOKUP($E129,'Data'!$A$2:$B$114,2,FALSE),""))</x:f>
      </x:c>
      <x:c r="T129" s="217" t="str">
        <x:f>IF($K129="","",VLOOKUP($K129,'Data'!$I$2:$L$6,2,TRUE))</x:f>
      </x:c>
      <x:c r="U129" s="217"/>
      <x:c r="V129" s="221" t="str">
        <x:f>IF($L129="","",$J129*$L129)</x:f>
      </x:c>
      <x:c r="W129" s="221" t="str">
        <x:f>IF($V129="","",$J129+$V129)</x:f>
      </x:c>
      <x:c r="X129" s="217" t="str">
        <x:f>IF($Y129="Ready","Review and inform supplier","")</x:f>
      </x:c>
      <x:c r="Y129" s="217" t="str">
        <x:f>IF(AND($B129="",$E129="",$I129=""),"",IF($B129="","Missing Assignment Number",IF($E129="","Select Job Title",IF($I129="","Enter Pay Rate",IF($S129="","Job Title not found","Ready")))))</x:f>
      </x:c>
    </x:row>
    <x:row r="130" ht="22" customHeight="1">
      <x:c r="A130" s="205"/>
      <x:c r="B130" s="205"/>
      <x:c r="C130" s="206"/>
      <x:c r="D130" s="205"/>
      <x:c r="E130" s="207"/>
      <x:c r="F130" s="208"/>
      <x:c r="G130" s="209" t="str">
        <x:f>IF($S130="","",IFERROR(VLOOKUP($S130,'Data'!$D$2:$G$14,3,FALSE),""))</x:f>
      </x:c>
      <x:c r="H130" s="210" t="str">
        <x:f>IF($G130="","",$G130/'Data'!$O$2/'Data'!$O$3)</x:f>
      </x:c>
      <x:c r="I130" s="211"/>
      <x:c r="J130" s="209" t="str">
        <x:f>IF(OR($E130="",$I130=""),"",$I130*'Data'!$O$2*'Data'!$O$3)</x:f>
      </x:c>
      <x:c r="K130" s="212" t="str">
        <x:f>IF(OR($J130="",$G130=""),"",$J130/$G130)</x:f>
      </x:c>
      <x:c r="L130" s="213" t="str">
        <x:f>IF($K130="","",VLOOKUP($K130,'Data'!$I$2:$L$6,3,TRUE))</x:f>
      </x:c>
      <x:c r="M130" s="210" t="str">
        <x:f>IF($L130="","",$I130*$L130)</x:f>
      </x:c>
      <x:c r="N130" s="214" t="str">
        <x:f>IF($M130="","",ROUNDDOWN($I130+$M130,2))</x:f>
      </x:c>
      <x:c r="O130" s="210" t="str">
        <x:f>IF($N130="","",ROUNDDOWN(ROUNDDOWN($N130,2)*$R130,3))</x:f>
      </x:c>
      <x:c r="P130" s="215"/>
      <x:c r="Q130" s="222" t="str">
        <x:f>IF($E130="","",IF(OR(RIGHT(UPPER(TRIM(SUBSTITUTE(CLEAN($E130),CHAR(160)," "))),2)="P1",RIGHT(UPPER(TRIM(SUBSTITUTE(CLEAN($E130),CHAR(160)," "))),2)="P2",RIGHT(UPPER(TRIM(SUBSTITUTE(CLEAN($E130),CHAR(160)," "))),2)="P3",RIGHT(UPPER(TRIM(SUBSTITUTE(CLEAN($E130),CHAR(160)," "))),2)="P4",ISNUMBER(SEARCH("INDUSTRIAL HYGIENIST 1 ENVIRONMENT",UPPER(TRIM(SUBSTITUTE(CLEAN($E130),CHAR(160)," ")))))),"PS","GS"))</x:f>
      </x:c>
      <x:c r="R130" s="223" t="str">
        <x:f>IF($Q130="","",IF($Q130="PS",'Data'!$O$5,'Data'!$O$4))</x:f>
      </x:c>
      <x:c r="S130" s="224" t="str">
        <x:f>IF($E130="","",IFERROR(VLOOKUP($E130,'Data'!$A$2:$B$114,2,FALSE),""))</x:f>
      </x:c>
      <x:c r="T130" s="217" t="str">
        <x:f>IF($K130="","",VLOOKUP($K130,'Data'!$I$2:$L$6,2,TRUE))</x:f>
      </x:c>
      <x:c r="U130" s="217"/>
      <x:c r="V130" s="221" t="str">
        <x:f>IF($L130="","",$J130*$L130)</x:f>
      </x:c>
      <x:c r="W130" s="221" t="str">
        <x:f>IF($V130="","",$J130+$V130)</x:f>
      </x:c>
      <x:c r="X130" s="217" t="str">
        <x:f>IF($Y130="Ready","Review and inform supplier","")</x:f>
      </x:c>
      <x:c r="Y130" s="217" t="str">
        <x:f>IF(AND($B130="",$E130="",$I130=""),"",IF($B130="","Missing Assignment Number",IF($E130="","Select Job Title",IF($I130="","Enter Pay Rate",IF($S130="","Job Title not found","Ready")))))</x:f>
      </x:c>
    </x:row>
    <x:row r="131" ht="22" customHeight="1">
      <x:c r="A131" s="205"/>
      <x:c r="B131" s="205"/>
      <x:c r="C131" s="206"/>
      <x:c r="D131" s="205"/>
      <x:c r="E131" s="207"/>
      <x:c r="F131" s="208"/>
      <x:c r="G131" s="209" t="str">
        <x:f>IF($S131="","",IFERROR(VLOOKUP($S131,'Data'!$D$2:$G$14,3,FALSE),""))</x:f>
      </x:c>
      <x:c r="H131" s="210" t="str">
        <x:f>IF($G131="","",$G131/'Data'!$O$2/'Data'!$O$3)</x:f>
      </x:c>
      <x:c r="I131" s="211"/>
      <x:c r="J131" s="209" t="str">
        <x:f>IF(OR($E131="",$I131=""),"",$I131*'Data'!$O$2*'Data'!$O$3)</x:f>
      </x:c>
      <x:c r="K131" s="212" t="str">
        <x:f>IF(OR($J131="",$G131=""),"",$J131/$G131)</x:f>
      </x:c>
      <x:c r="L131" s="213" t="str">
        <x:f>IF($K131="","",VLOOKUP($K131,'Data'!$I$2:$L$6,3,TRUE))</x:f>
      </x:c>
      <x:c r="M131" s="210" t="str">
        <x:f>IF($L131="","",$I131*$L131)</x:f>
      </x:c>
      <x:c r="N131" s="214" t="str">
        <x:f>IF($M131="","",ROUNDDOWN($I131+$M131,2))</x:f>
      </x:c>
      <x:c r="O131" s="210" t="str">
        <x:f>IF($N131="","",ROUNDDOWN(ROUNDDOWN($N131,2)*$R131,3))</x:f>
      </x:c>
      <x:c r="P131" s="215"/>
      <x:c r="Q131" s="222" t="str">
        <x:f>IF($E131="","",IF(OR(RIGHT(UPPER(TRIM(SUBSTITUTE(CLEAN($E131),CHAR(160)," "))),2)="P1",RIGHT(UPPER(TRIM(SUBSTITUTE(CLEAN($E131),CHAR(160)," "))),2)="P2",RIGHT(UPPER(TRIM(SUBSTITUTE(CLEAN($E131),CHAR(160)," "))),2)="P3",RIGHT(UPPER(TRIM(SUBSTITUTE(CLEAN($E131),CHAR(160)," "))),2)="P4",ISNUMBER(SEARCH("INDUSTRIAL HYGIENIST 1 ENVIRONMENT",UPPER(TRIM(SUBSTITUTE(CLEAN($E131),CHAR(160)," ")))))),"PS","GS"))</x:f>
      </x:c>
      <x:c r="R131" s="223" t="str">
        <x:f>IF($Q131="","",IF($Q131="PS",'Data'!$O$5,'Data'!$O$4))</x:f>
      </x:c>
      <x:c r="S131" s="224" t="str">
        <x:f>IF($E131="","",IFERROR(VLOOKUP($E131,'Data'!$A$2:$B$114,2,FALSE),""))</x:f>
      </x:c>
      <x:c r="T131" s="217" t="str">
        <x:f>IF($K131="","",VLOOKUP($K131,'Data'!$I$2:$L$6,2,TRUE))</x:f>
      </x:c>
      <x:c r="U131" s="217"/>
      <x:c r="V131" s="221" t="str">
        <x:f>IF($L131="","",$J131*$L131)</x:f>
      </x:c>
      <x:c r="W131" s="221" t="str">
        <x:f>IF($V131="","",$J131+$V131)</x:f>
      </x:c>
      <x:c r="X131" s="217" t="str">
        <x:f>IF($Y131="Ready","Review and inform supplier","")</x:f>
      </x:c>
      <x:c r="Y131" s="217" t="str">
        <x:f>IF(AND($B131="",$E131="",$I131=""),"",IF($B131="","Missing Assignment Number",IF($E131="","Select Job Title",IF($I131="","Enter Pay Rate",IF($S131="","Job Title not found","Ready")))))</x:f>
      </x:c>
    </x:row>
    <x:row r="132" ht="22" customHeight="1">
      <x:c r="A132" s="205"/>
      <x:c r="B132" s="205"/>
      <x:c r="C132" s="206"/>
      <x:c r="D132" s="205"/>
      <x:c r="E132" s="207"/>
      <x:c r="F132" s="208"/>
      <x:c r="G132" s="209" t="str">
        <x:f>IF($S132="","",IFERROR(VLOOKUP($S132,'Data'!$D$2:$G$14,3,FALSE),""))</x:f>
      </x:c>
      <x:c r="H132" s="210" t="str">
        <x:f>IF($G132="","",$G132/'Data'!$O$2/'Data'!$O$3)</x:f>
      </x:c>
      <x:c r="I132" s="211"/>
      <x:c r="J132" s="209" t="str">
        <x:f>IF(OR($E132="",$I132=""),"",$I132*'Data'!$O$2*'Data'!$O$3)</x:f>
      </x:c>
      <x:c r="K132" s="212" t="str">
        <x:f>IF(OR($J132="",$G132=""),"",$J132/$G132)</x:f>
      </x:c>
      <x:c r="L132" s="213" t="str">
        <x:f>IF($K132="","",VLOOKUP($K132,'Data'!$I$2:$L$6,3,TRUE))</x:f>
      </x:c>
      <x:c r="M132" s="210" t="str">
        <x:f>IF($L132="","",$I132*$L132)</x:f>
      </x:c>
      <x:c r="N132" s="214" t="str">
        <x:f>IF($M132="","",ROUNDDOWN($I132+$M132,2))</x:f>
      </x:c>
      <x:c r="O132" s="210" t="str">
        <x:f>IF($N132="","",ROUNDDOWN(ROUNDDOWN($N132,2)*$R132,3))</x:f>
      </x:c>
      <x:c r="P132" s="215"/>
      <x:c r="Q132" s="222" t="str">
        <x:f>IF($E132="","",IF(OR(RIGHT(UPPER(TRIM(SUBSTITUTE(CLEAN($E132),CHAR(160)," "))),2)="P1",RIGHT(UPPER(TRIM(SUBSTITUTE(CLEAN($E132),CHAR(160)," "))),2)="P2",RIGHT(UPPER(TRIM(SUBSTITUTE(CLEAN($E132),CHAR(160)," "))),2)="P3",RIGHT(UPPER(TRIM(SUBSTITUTE(CLEAN($E132),CHAR(160)," "))),2)="P4",ISNUMBER(SEARCH("INDUSTRIAL HYGIENIST 1 ENVIRONMENT",UPPER(TRIM(SUBSTITUTE(CLEAN($E132),CHAR(160)," ")))))),"PS","GS"))</x:f>
      </x:c>
      <x:c r="R132" s="223" t="str">
        <x:f>IF($Q132="","",IF($Q132="PS",'Data'!$O$5,'Data'!$O$4))</x:f>
      </x:c>
      <x:c r="S132" s="224" t="str">
        <x:f>IF($E132="","",IFERROR(VLOOKUP($E132,'Data'!$A$2:$B$114,2,FALSE),""))</x:f>
      </x:c>
      <x:c r="T132" s="217" t="str">
        <x:f>IF($K132="","",VLOOKUP($K132,'Data'!$I$2:$L$6,2,TRUE))</x:f>
      </x:c>
      <x:c r="U132" s="217"/>
      <x:c r="V132" s="221" t="str">
        <x:f>IF($L132="","",$J132*$L132)</x:f>
      </x:c>
      <x:c r="W132" s="221" t="str">
        <x:f>IF($V132="","",$J132+$V132)</x:f>
      </x:c>
      <x:c r="X132" s="217" t="str">
        <x:f>IF($Y132="Ready","Review and inform supplier","")</x:f>
      </x:c>
      <x:c r="Y132" s="217" t="str">
        <x:f>IF(AND($B132="",$E132="",$I132=""),"",IF($B132="","Missing Assignment Number",IF($E132="","Select Job Title",IF($I132="","Enter Pay Rate",IF($S132="","Job Title not found","Ready")))))</x:f>
      </x:c>
    </x:row>
    <x:row r="133" ht="22" customHeight="1">
      <x:c r="A133" s="205"/>
      <x:c r="B133" s="205"/>
      <x:c r="C133" s="206"/>
      <x:c r="D133" s="205"/>
      <x:c r="E133" s="207"/>
      <x:c r="F133" s="208"/>
      <x:c r="G133" s="209" t="str">
        <x:f>IF($S133="","",IFERROR(VLOOKUP($S133,'Data'!$D$2:$G$14,3,FALSE),""))</x:f>
      </x:c>
      <x:c r="H133" s="210" t="str">
        <x:f>IF($G133="","",$G133/'Data'!$O$2/'Data'!$O$3)</x:f>
      </x:c>
      <x:c r="I133" s="211"/>
      <x:c r="J133" s="209" t="str">
        <x:f>IF(OR($E133="",$I133=""),"",$I133*'Data'!$O$2*'Data'!$O$3)</x:f>
      </x:c>
      <x:c r="K133" s="212" t="str">
        <x:f>IF(OR($J133="",$G133=""),"",$J133/$G133)</x:f>
      </x:c>
      <x:c r="L133" s="213" t="str">
        <x:f>IF($K133="","",VLOOKUP($K133,'Data'!$I$2:$L$6,3,TRUE))</x:f>
      </x:c>
      <x:c r="M133" s="210" t="str">
        <x:f>IF($L133="","",$I133*$L133)</x:f>
      </x:c>
      <x:c r="N133" s="214" t="str">
        <x:f>IF($M133="","",ROUNDDOWN($I133+$M133,2))</x:f>
      </x:c>
      <x:c r="O133" s="210" t="str">
        <x:f>IF($N133="","",ROUNDDOWN(ROUNDDOWN($N133,2)*$R133,3))</x:f>
      </x:c>
      <x:c r="P133" s="215"/>
      <x:c r="Q133" s="222" t="str">
        <x:f>IF($E133="","",IF(OR(RIGHT(UPPER(TRIM(SUBSTITUTE(CLEAN($E133),CHAR(160)," "))),2)="P1",RIGHT(UPPER(TRIM(SUBSTITUTE(CLEAN($E133),CHAR(160)," "))),2)="P2",RIGHT(UPPER(TRIM(SUBSTITUTE(CLEAN($E133),CHAR(160)," "))),2)="P3",RIGHT(UPPER(TRIM(SUBSTITUTE(CLEAN($E133),CHAR(160)," "))),2)="P4",ISNUMBER(SEARCH("INDUSTRIAL HYGIENIST 1 ENVIRONMENT",UPPER(TRIM(SUBSTITUTE(CLEAN($E133),CHAR(160)," ")))))),"PS","GS"))</x:f>
      </x:c>
      <x:c r="R133" s="223" t="str">
        <x:f>IF($Q133="","",IF($Q133="PS",'Data'!$O$5,'Data'!$O$4))</x:f>
      </x:c>
      <x:c r="S133" s="224" t="str">
        <x:f>IF($E133="","",IFERROR(VLOOKUP($E133,'Data'!$A$2:$B$114,2,FALSE),""))</x:f>
      </x:c>
      <x:c r="T133" s="217" t="str">
        <x:f>IF($K133="","",VLOOKUP($K133,'Data'!$I$2:$L$6,2,TRUE))</x:f>
      </x:c>
      <x:c r="U133" s="217"/>
      <x:c r="V133" s="221" t="str">
        <x:f>IF($L133="","",$J133*$L133)</x:f>
      </x:c>
      <x:c r="W133" s="221" t="str">
        <x:f>IF($V133="","",$J133+$V133)</x:f>
      </x:c>
      <x:c r="X133" s="217" t="str">
        <x:f>IF($Y133="Ready","Review and inform supplier","")</x:f>
      </x:c>
      <x:c r="Y133" s="217" t="str">
        <x:f>IF(AND($B133="",$E133="",$I133=""),"",IF($B133="","Missing Assignment Number",IF($E133="","Select Job Title",IF($I133="","Enter Pay Rate",IF($S133="","Job Title not found","Ready")))))</x:f>
      </x:c>
    </x:row>
    <x:row r="134" ht="22" customHeight="1">
      <x:c r="A134" s="205"/>
      <x:c r="B134" s="205"/>
      <x:c r="C134" s="206"/>
      <x:c r="D134" s="205"/>
      <x:c r="E134" s="207"/>
      <x:c r="F134" s="208"/>
      <x:c r="G134" s="209" t="str">
        <x:f>IF($S134="","",IFERROR(VLOOKUP($S134,'Data'!$D$2:$G$14,3,FALSE),""))</x:f>
      </x:c>
      <x:c r="H134" s="210" t="str">
        <x:f>IF($G134="","",$G134/'Data'!$O$2/'Data'!$O$3)</x:f>
      </x:c>
      <x:c r="I134" s="211"/>
      <x:c r="J134" s="209" t="str">
        <x:f>IF(OR($E134="",$I134=""),"",$I134*'Data'!$O$2*'Data'!$O$3)</x:f>
      </x:c>
      <x:c r="K134" s="212" t="str">
        <x:f>IF(OR($J134="",$G134=""),"",$J134/$G134)</x:f>
      </x:c>
      <x:c r="L134" s="213" t="str">
        <x:f>IF($K134="","",VLOOKUP($K134,'Data'!$I$2:$L$6,3,TRUE))</x:f>
      </x:c>
      <x:c r="M134" s="210" t="str">
        <x:f>IF($L134="","",$I134*$L134)</x:f>
      </x:c>
      <x:c r="N134" s="214" t="str">
        <x:f>IF($M134="","",ROUNDDOWN($I134+$M134,2))</x:f>
      </x:c>
      <x:c r="O134" s="210" t="str">
        <x:f>IF($N134="","",ROUNDDOWN(ROUNDDOWN($N134,2)*$R134,3))</x:f>
      </x:c>
      <x:c r="P134" s="215"/>
      <x:c r="Q134" s="222" t="str">
        <x:f>IF($E134="","",IF(OR(RIGHT(UPPER(TRIM(SUBSTITUTE(CLEAN($E134),CHAR(160)," "))),2)="P1",RIGHT(UPPER(TRIM(SUBSTITUTE(CLEAN($E134),CHAR(160)," "))),2)="P2",RIGHT(UPPER(TRIM(SUBSTITUTE(CLEAN($E134),CHAR(160)," "))),2)="P3",RIGHT(UPPER(TRIM(SUBSTITUTE(CLEAN($E134),CHAR(160)," "))),2)="P4",ISNUMBER(SEARCH("INDUSTRIAL HYGIENIST 1 ENVIRONMENT",UPPER(TRIM(SUBSTITUTE(CLEAN($E134),CHAR(160)," ")))))),"PS","GS"))</x:f>
      </x:c>
      <x:c r="R134" s="223" t="str">
        <x:f>IF($Q134="","",IF($Q134="PS",'Data'!$O$5,'Data'!$O$4))</x:f>
      </x:c>
      <x:c r="S134" s="224" t="str">
        <x:f>IF($E134="","",IFERROR(VLOOKUP($E134,'Data'!$A$2:$B$114,2,FALSE),""))</x:f>
      </x:c>
      <x:c r="T134" s="217" t="str">
        <x:f>IF($K134="","",VLOOKUP($K134,'Data'!$I$2:$L$6,2,TRUE))</x:f>
      </x:c>
      <x:c r="U134" s="217"/>
      <x:c r="V134" s="221" t="str">
        <x:f>IF($L134="","",$J134*$L134)</x:f>
      </x:c>
      <x:c r="W134" s="221" t="str">
        <x:f>IF($V134="","",$J134+$V134)</x:f>
      </x:c>
      <x:c r="X134" s="217" t="str">
        <x:f>IF($Y134="Ready","Review and inform supplier","")</x:f>
      </x:c>
      <x:c r="Y134" s="217" t="str">
        <x:f>IF(AND($B134="",$E134="",$I134=""),"",IF($B134="","Missing Assignment Number",IF($E134="","Select Job Title",IF($I134="","Enter Pay Rate",IF($S134="","Job Title not found","Ready")))))</x:f>
      </x:c>
    </x:row>
    <x:row r="135" ht="22" customHeight="1">
      <x:c r="A135" s="205"/>
      <x:c r="B135" s="205"/>
      <x:c r="C135" s="206"/>
      <x:c r="D135" s="205"/>
      <x:c r="E135" s="207"/>
      <x:c r="F135" s="208"/>
      <x:c r="G135" s="209" t="str">
        <x:f>IF($S135="","",IFERROR(VLOOKUP($S135,'Data'!$D$2:$G$14,3,FALSE),""))</x:f>
      </x:c>
      <x:c r="H135" s="210" t="str">
        <x:f>IF($G135="","",$G135/'Data'!$O$2/'Data'!$O$3)</x:f>
      </x:c>
      <x:c r="I135" s="211"/>
      <x:c r="J135" s="209" t="str">
        <x:f>IF(OR($E135="",$I135=""),"",$I135*'Data'!$O$2*'Data'!$O$3)</x:f>
      </x:c>
      <x:c r="K135" s="212" t="str">
        <x:f>IF(OR($J135="",$G135=""),"",$J135/$G135)</x:f>
      </x:c>
      <x:c r="L135" s="213" t="str">
        <x:f>IF($K135="","",VLOOKUP($K135,'Data'!$I$2:$L$6,3,TRUE))</x:f>
      </x:c>
      <x:c r="M135" s="210" t="str">
        <x:f>IF($L135="","",$I135*$L135)</x:f>
      </x:c>
      <x:c r="N135" s="214" t="str">
        <x:f>IF($M135="","",ROUNDDOWN($I135+$M135,2))</x:f>
      </x:c>
      <x:c r="O135" s="210" t="str">
        <x:f>IF($N135="","",ROUNDDOWN(ROUNDDOWN($N135,2)*$R135,3))</x:f>
      </x:c>
      <x:c r="P135" s="215"/>
      <x:c r="Q135" s="222" t="str">
        <x:f>IF($E135="","",IF(OR(RIGHT(UPPER(TRIM(SUBSTITUTE(CLEAN($E135),CHAR(160)," "))),2)="P1",RIGHT(UPPER(TRIM(SUBSTITUTE(CLEAN($E135),CHAR(160)," "))),2)="P2",RIGHT(UPPER(TRIM(SUBSTITUTE(CLEAN($E135),CHAR(160)," "))),2)="P3",RIGHT(UPPER(TRIM(SUBSTITUTE(CLEAN($E135),CHAR(160)," "))),2)="P4",ISNUMBER(SEARCH("INDUSTRIAL HYGIENIST 1 ENVIRONMENT",UPPER(TRIM(SUBSTITUTE(CLEAN($E135),CHAR(160)," ")))))),"PS","GS"))</x:f>
      </x:c>
      <x:c r="R135" s="223" t="str">
        <x:f>IF($Q135="","",IF($Q135="PS",'Data'!$O$5,'Data'!$O$4))</x:f>
      </x:c>
      <x:c r="S135" s="224" t="str">
        <x:f>IF($E135="","",IFERROR(VLOOKUP($E135,'Data'!$A$2:$B$114,2,FALSE),""))</x:f>
      </x:c>
      <x:c r="T135" s="217" t="str">
        <x:f>IF($K135="","",VLOOKUP($K135,'Data'!$I$2:$L$6,2,TRUE))</x:f>
      </x:c>
      <x:c r="U135" s="217"/>
      <x:c r="V135" s="221" t="str">
        <x:f>IF($L135="","",$J135*$L135)</x:f>
      </x:c>
      <x:c r="W135" s="221" t="str">
        <x:f>IF($V135="","",$J135+$V135)</x:f>
      </x:c>
      <x:c r="X135" s="217" t="str">
        <x:f>IF($Y135="Ready","Review and inform supplier","")</x:f>
      </x:c>
      <x:c r="Y135" s="217" t="str">
        <x:f>IF(AND($B135="",$E135="",$I135=""),"",IF($B135="","Missing Assignment Number",IF($E135="","Select Job Title",IF($I135="","Enter Pay Rate",IF($S135="","Job Title not found","Ready")))))</x:f>
      </x:c>
    </x:row>
    <x:row r="136" ht="22" customHeight="1">
      <x:c r="A136" s="205"/>
      <x:c r="B136" s="205"/>
      <x:c r="C136" s="206"/>
      <x:c r="D136" s="205"/>
      <x:c r="E136" s="207"/>
      <x:c r="F136" s="208"/>
      <x:c r="G136" s="209" t="str">
        <x:f>IF($S136="","",IFERROR(VLOOKUP($S136,'Data'!$D$2:$G$14,3,FALSE),""))</x:f>
      </x:c>
      <x:c r="H136" s="210" t="str">
        <x:f>IF($G136="","",$G136/'Data'!$O$2/'Data'!$O$3)</x:f>
      </x:c>
      <x:c r="I136" s="211"/>
      <x:c r="J136" s="209" t="str">
        <x:f>IF(OR($E136="",$I136=""),"",$I136*'Data'!$O$2*'Data'!$O$3)</x:f>
      </x:c>
      <x:c r="K136" s="212" t="str">
        <x:f>IF(OR($J136="",$G136=""),"",$J136/$G136)</x:f>
      </x:c>
      <x:c r="L136" s="213" t="str">
        <x:f>IF($K136="","",VLOOKUP($K136,'Data'!$I$2:$L$6,3,TRUE))</x:f>
      </x:c>
      <x:c r="M136" s="210" t="str">
        <x:f>IF($L136="","",$I136*$L136)</x:f>
      </x:c>
      <x:c r="N136" s="214" t="str">
        <x:f>IF($M136="","",ROUNDDOWN($I136+$M136,2))</x:f>
      </x:c>
      <x:c r="O136" s="210" t="str">
        <x:f>IF($N136="","",ROUNDDOWN(ROUNDDOWN($N136,2)*$R136,3))</x:f>
      </x:c>
      <x:c r="P136" s="215"/>
      <x:c r="Q136" s="222" t="str">
        <x:f>IF($E136="","",IF(OR(RIGHT(UPPER(TRIM(SUBSTITUTE(CLEAN($E136),CHAR(160)," "))),2)="P1",RIGHT(UPPER(TRIM(SUBSTITUTE(CLEAN($E136),CHAR(160)," "))),2)="P2",RIGHT(UPPER(TRIM(SUBSTITUTE(CLEAN($E136),CHAR(160)," "))),2)="P3",RIGHT(UPPER(TRIM(SUBSTITUTE(CLEAN($E136),CHAR(160)," "))),2)="P4",ISNUMBER(SEARCH("INDUSTRIAL HYGIENIST 1 ENVIRONMENT",UPPER(TRIM(SUBSTITUTE(CLEAN($E136),CHAR(160)," ")))))),"PS","GS"))</x:f>
      </x:c>
      <x:c r="R136" s="223" t="str">
        <x:f>IF($Q136="","",IF($Q136="PS",'Data'!$O$5,'Data'!$O$4))</x:f>
      </x:c>
      <x:c r="S136" s="224" t="str">
        <x:f>IF($E136="","",IFERROR(VLOOKUP($E136,'Data'!$A$2:$B$114,2,FALSE),""))</x:f>
      </x:c>
      <x:c r="T136" s="217" t="str">
        <x:f>IF($K136="","",VLOOKUP($K136,'Data'!$I$2:$L$6,2,TRUE))</x:f>
      </x:c>
      <x:c r="U136" s="217"/>
      <x:c r="V136" s="221" t="str">
        <x:f>IF($L136="","",$J136*$L136)</x:f>
      </x:c>
      <x:c r="W136" s="221" t="str">
        <x:f>IF($V136="","",$J136+$V136)</x:f>
      </x:c>
      <x:c r="X136" s="217" t="str">
        <x:f>IF($Y136="Ready","Review and inform supplier","")</x:f>
      </x:c>
      <x:c r="Y136" s="217" t="str">
        <x:f>IF(AND($B136="",$E136="",$I136=""),"",IF($B136="","Missing Assignment Number",IF($E136="","Select Job Title",IF($I136="","Enter Pay Rate",IF($S136="","Job Title not found","Ready")))))</x:f>
      </x:c>
    </x:row>
    <x:row r="137" ht="22" customHeight="1">
      <x:c r="A137" s="205"/>
      <x:c r="B137" s="205"/>
      <x:c r="C137" s="206"/>
      <x:c r="D137" s="205"/>
      <x:c r="E137" s="207"/>
      <x:c r="F137" s="208"/>
      <x:c r="G137" s="209" t="str">
        <x:f>IF($S137="","",IFERROR(VLOOKUP($S137,'Data'!$D$2:$G$14,3,FALSE),""))</x:f>
      </x:c>
      <x:c r="H137" s="210" t="str">
        <x:f>IF($G137="","",$G137/'Data'!$O$2/'Data'!$O$3)</x:f>
      </x:c>
      <x:c r="I137" s="211"/>
      <x:c r="J137" s="209" t="str">
        <x:f>IF(OR($E137="",$I137=""),"",$I137*'Data'!$O$2*'Data'!$O$3)</x:f>
      </x:c>
      <x:c r="K137" s="212" t="str">
        <x:f>IF(OR($J137="",$G137=""),"",$J137/$G137)</x:f>
      </x:c>
      <x:c r="L137" s="213" t="str">
        <x:f>IF($K137="","",VLOOKUP($K137,'Data'!$I$2:$L$6,3,TRUE))</x:f>
      </x:c>
      <x:c r="M137" s="210" t="str">
        <x:f>IF($L137="","",$I137*$L137)</x:f>
      </x:c>
      <x:c r="N137" s="214" t="str">
        <x:f>IF($M137="","",ROUNDDOWN($I137+$M137,2))</x:f>
      </x:c>
      <x:c r="O137" s="210" t="str">
        <x:f>IF($N137="","",ROUNDDOWN(ROUNDDOWN($N137,2)*$R137,3))</x:f>
      </x:c>
      <x:c r="P137" s="215"/>
      <x:c r="Q137" s="222" t="str">
        <x:f>IF($E137="","",IF(OR(RIGHT(UPPER(TRIM(SUBSTITUTE(CLEAN($E137),CHAR(160)," "))),2)="P1",RIGHT(UPPER(TRIM(SUBSTITUTE(CLEAN($E137),CHAR(160)," "))),2)="P2",RIGHT(UPPER(TRIM(SUBSTITUTE(CLEAN($E137),CHAR(160)," "))),2)="P3",RIGHT(UPPER(TRIM(SUBSTITUTE(CLEAN($E137),CHAR(160)," "))),2)="P4",ISNUMBER(SEARCH("INDUSTRIAL HYGIENIST 1 ENVIRONMENT",UPPER(TRIM(SUBSTITUTE(CLEAN($E137),CHAR(160)," ")))))),"PS","GS"))</x:f>
      </x:c>
      <x:c r="R137" s="223" t="str">
        <x:f>IF($Q137="","",IF($Q137="PS",'Data'!$O$5,'Data'!$O$4))</x:f>
      </x:c>
      <x:c r="S137" s="224" t="str">
        <x:f>IF($E137="","",IFERROR(VLOOKUP($E137,'Data'!$A$2:$B$114,2,FALSE),""))</x:f>
      </x:c>
      <x:c r="T137" s="217" t="str">
        <x:f>IF($K137="","",VLOOKUP($K137,'Data'!$I$2:$L$6,2,TRUE))</x:f>
      </x:c>
      <x:c r="U137" s="217"/>
      <x:c r="V137" s="221" t="str">
        <x:f>IF($L137="","",$J137*$L137)</x:f>
      </x:c>
      <x:c r="W137" s="221" t="str">
        <x:f>IF($V137="","",$J137+$V137)</x:f>
      </x:c>
      <x:c r="X137" s="217" t="str">
        <x:f>IF($Y137="Ready","Review and inform supplier","")</x:f>
      </x:c>
      <x:c r="Y137" s="217" t="str">
        <x:f>IF(AND($B137="",$E137="",$I137=""),"",IF($B137="","Missing Assignment Number",IF($E137="","Select Job Title",IF($I137="","Enter Pay Rate",IF($S137="","Job Title not found","Ready")))))</x:f>
      </x:c>
    </x:row>
    <x:row r="138" ht="22" customHeight="1">
      <x:c r="A138" s="205"/>
      <x:c r="B138" s="205"/>
      <x:c r="C138" s="206"/>
      <x:c r="D138" s="205"/>
      <x:c r="E138" s="207"/>
      <x:c r="F138" s="208"/>
      <x:c r="G138" s="209" t="str">
        <x:f>IF($S138="","",IFERROR(VLOOKUP($S138,'Data'!$D$2:$G$14,3,FALSE),""))</x:f>
      </x:c>
      <x:c r="H138" s="210" t="str">
        <x:f>IF($G138="","",$G138/'Data'!$O$2/'Data'!$O$3)</x:f>
      </x:c>
      <x:c r="I138" s="211"/>
      <x:c r="J138" s="209" t="str">
        <x:f>IF(OR($E138="",$I138=""),"",$I138*'Data'!$O$2*'Data'!$O$3)</x:f>
      </x:c>
      <x:c r="K138" s="212" t="str">
        <x:f>IF(OR($J138="",$G138=""),"",$J138/$G138)</x:f>
      </x:c>
      <x:c r="L138" s="213" t="str">
        <x:f>IF($K138="","",VLOOKUP($K138,'Data'!$I$2:$L$6,3,TRUE))</x:f>
      </x:c>
      <x:c r="M138" s="210" t="str">
        <x:f>IF($L138="","",$I138*$L138)</x:f>
      </x:c>
      <x:c r="N138" s="214" t="str">
        <x:f>IF($M138="","",ROUNDDOWN($I138+$M138,2))</x:f>
      </x:c>
      <x:c r="O138" s="210" t="str">
        <x:f>IF($N138="","",ROUNDDOWN(ROUNDDOWN($N138,2)*$R138,3))</x:f>
      </x:c>
      <x:c r="P138" s="215"/>
      <x:c r="Q138" s="222" t="str">
        <x:f>IF($E138="","",IF(OR(RIGHT(UPPER(TRIM(SUBSTITUTE(CLEAN($E138),CHAR(160)," "))),2)="P1",RIGHT(UPPER(TRIM(SUBSTITUTE(CLEAN($E138),CHAR(160)," "))),2)="P2",RIGHT(UPPER(TRIM(SUBSTITUTE(CLEAN($E138),CHAR(160)," "))),2)="P3",RIGHT(UPPER(TRIM(SUBSTITUTE(CLEAN($E138),CHAR(160)," "))),2)="P4",ISNUMBER(SEARCH("INDUSTRIAL HYGIENIST 1 ENVIRONMENT",UPPER(TRIM(SUBSTITUTE(CLEAN($E138),CHAR(160)," ")))))),"PS","GS"))</x:f>
      </x:c>
      <x:c r="R138" s="223" t="str">
        <x:f>IF($Q138="","",IF($Q138="PS",'Data'!$O$5,'Data'!$O$4))</x:f>
      </x:c>
      <x:c r="S138" s="224" t="str">
        <x:f>IF($E138="","",IFERROR(VLOOKUP($E138,'Data'!$A$2:$B$114,2,FALSE),""))</x:f>
      </x:c>
      <x:c r="T138" s="217" t="str">
        <x:f>IF($K138="","",VLOOKUP($K138,'Data'!$I$2:$L$6,2,TRUE))</x:f>
      </x:c>
      <x:c r="U138" s="217"/>
      <x:c r="V138" s="221" t="str">
        <x:f>IF($L138="","",$J138*$L138)</x:f>
      </x:c>
      <x:c r="W138" s="221" t="str">
        <x:f>IF($V138="","",$J138+$V138)</x:f>
      </x:c>
      <x:c r="X138" s="217" t="str">
        <x:f>IF($Y138="Ready","Review and inform supplier","")</x:f>
      </x:c>
      <x:c r="Y138" s="217" t="str">
        <x:f>IF(AND($B138="",$E138="",$I138=""),"",IF($B138="","Missing Assignment Number",IF($E138="","Select Job Title",IF($I138="","Enter Pay Rate",IF($S138="","Job Title not found","Ready")))))</x:f>
      </x:c>
    </x:row>
    <x:row r="139" ht="22" customHeight="1">
      <x:c r="A139" s="205"/>
      <x:c r="B139" s="205"/>
      <x:c r="C139" s="206"/>
      <x:c r="D139" s="205"/>
      <x:c r="E139" s="207"/>
      <x:c r="F139" s="208"/>
      <x:c r="G139" s="209" t="str">
        <x:f>IF($S139="","",IFERROR(VLOOKUP($S139,'Data'!$D$2:$G$14,3,FALSE),""))</x:f>
      </x:c>
      <x:c r="H139" s="210" t="str">
        <x:f>IF($G139="","",$G139/'Data'!$O$2/'Data'!$O$3)</x:f>
      </x:c>
      <x:c r="I139" s="211"/>
      <x:c r="J139" s="209" t="str">
        <x:f>IF(OR($E139="",$I139=""),"",$I139*'Data'!$O$2*'Data'!$O$3)</x:f>
      </x:c>
      <x:c r="K139" s="212" t="str">
        <x:f>IF(OR($J139="",$G139=""),"",$J139/$G139)</x:f>
      </x:c>
      <x:c r="L139" s="213" t="str">
        <x:f>IF($K139="","",VLOOKUP($K139,'Data'!$I$2:$L$6,3,TRUE))</x:f>
      </x:c>
      <x:c r="M139" s="210" t="str">
        <x:f>IF($L139="","",$I139*$L139)</x:f>
      </x:c>
      <x:c r="N139" s="214" t="str">
        <x:f>IF($M139="","",ROUNDDOWN($I139+$M139,2))</x:f>
      </x:c>
      <x:c r="O139" s="210" t="str">
        <x:f>IF($N139="","",ROUNDDOWN(ROUNDDOWN($N139,2)*$R139,3))</x:f>
      </x:c>
      <x:c r="P139" s="215"/>
      <x:c r="Q139" s="222" t="str">
        <x:f>IF($E139="","",IF(OR(RIGHT(UPPER(TRIM(SUBSTITUTE(CLEAN($E139),CHAR(160)," "))),2)="P1",RIGHT(UPPER(TRIM(SUBSTITUTE(CLEAN($E139),CHAR(160)," "))),2)="P2",RIGHT(UPPER(TRIM(SUBSTITUTE(CLEAN($E139),CHAR(160)," "))),2)="P3",RIGHT(UPPER(TRIM(SUBSTITUTE(CLEAN($E139),CHAR(160)," "))),2)="P4",ISNUMBER(SEARCH("INDUSTRIAL HYGIENIST 1 ENVIRONMENT",UPPER(TRIM(SUBSTITUTE(CLEAN($E139),CHAR(160)," ")))))),"PS","GS"))</x:f>
      </x:c>
      <x:c r="R139" s="223" t="str">
        <x:f>IF($Q139="","",IF($Q139="PS",'Data'!$O$5,'Data'!$O$4))</x:f>
      </x:c>
      <x:c r="S139" s="224" t="str">
        <x:f>IF($E139="","",IFERROR(VLOOKUP($E139,'Data'!$A$2:$B$114,2,FALSE),""))</x:f>
      </x:c>
      <x:c r="T139" s="217" t="str">
        <x:f>IF($K139="","",VLOOKUP($K139,'Data'!$I$2:$L$6,2,TRUE))</x:f>
      </x:c>
      <x:c r="U139" s="217"/>
      <x:c r="V139" s="221" t="str">
        <x:f>IF($L139="","",$J139*$L139)</x:f>
      </x:c>
      <x:c r="W139" s="221" t="str">
        <x:f>IF($V139="","",$J139+$V139)</x:f>
      </x:c>
      <x:c r="X139" s="217" t="str">
        <x:f>IF($Y139="Ready","Review and inform supplier","")</x:f>
      </x:c>
      <x:c r="Y139" s="217" t="str">
        <x:f>IF(AND($B139="",$E139="",$I139=""),"",IF($B139="","Missing Assignment Number",IF($E139="","Select Job Title",IF($I139="","Enter Pay Rate",IF($S139="","Job Title not found","Ready")))))</x:f>
      </x:c>
    </x:row>
    <x:row r="140" ht="22" customHeight="1">
      <x:c r="A140" s="205"/>
      <x:c r="B140" s="205"/>
      <x:c r="C140" s="206"/>
      <x:c r="D140" s="205"/>
      <x:c r="E140" s="207"/>
      <x:c r="F140" s="208"/>
      <x:c r="G140" s="209" t="str">
        <x:f>IF($S140="","",IFERROR(VLOOKUP($S140,'Data'!$D$2:$G$14,3,FALSE),""))</x:f>
      </x:c>
      <x:c r="H140" s="210" t="str">
        <x:f>IF($G140="","",$G140/'Data'!$O$2/'Data'!$O$3)</x:f>
      </x:c>
      <x:c r="I140" s="211"/>
      <x:c r="J140" s="209" t="str">
        <x:f>IF(OR($E140="",$I140=""),"",$I140*'Data'!$O$2*'Data'!$O$3)</x:f>
      </x:c>
      <x:c r="K140" s="212" t="str">
        <x:f>IF(OR($J140="",$G140=""),"",$J140/$G140)</x:f>
      </x:c>
      <x:c r="L140" s="213" t="str">
        <x:f>IF($K140="","",VLOOKUP($K140,'Data'!$I$2:$L$6,3,TRUE))</x:f>
      </x:c>
      <x:c r="M140" s="210" t="str">
        <x:f>IF($L140="","",$I140*$L140)</x:f>
      </x:c>
      <x:c r="N140" s="214" t="str">
        <x:f>IF($M140="","",ROUNDDOWN($I140+$M140,2))</x:f>
      </x:c>
      <x:c r="O140" s="210" t="str">
        <x:f>IF($N140="","",ROUNDDOWN(ROUNDDOWN($N140,2)*$R140,3))</x:f>
      </x:c>
      <x:c r="P140" s="215"/>
      <x:c r="Q140" s="222" t="str">
        <x:f>IF($E140="","",IF(OR(RIGHT(UPPER(TRIM(SUBSTITUTE(CLEAN($E140),CHAR(160)," "))),2)="P1",RIGHT(UPPER(TRIM(SUBSTITUTE(CLEAN($E140),CHAR(160)," "))),2)="P2",RIGHT(UPPER(TRIM(SUBSTITUTE(CLEAN($E140),CHAR(160)," "))),2)="P3",RIGHT(UPPER(TRIM(SUBSTITUTE(CLEAN($E140),CHAR(160)," "))),2)="P4",ISNUMBER(SEARCH("INDUSTRIAL HYGIENIST 1 ENVIRONMENT",UPPER(TRIM(SUBSTITUTE(CLEAN($E140),CHAR(160)," ")))))),"PS","GS"))</x:f>
      </x:c>
      <x:c r="R140" s="223" t="str">
        <x:f>IF($Q140="","",IF($Q140="PS",'Data'!$O$5,'Data'!$O$4))</x:f>
      </x:c>
      <x:c r="S140" s="224" t="str">
        <x:f>IF($E140="","",IFERROR(VLOOKUP($E140,'Data'!$A$2:$B$114,2,FALSE),""))</x:f>
      </x:c>
      <x:c r="T140" s="217" t="str">
        <x:f>IF($K140="","",VLOOKUP($K140,'Data'!$I$2:$L$6,2,TRUE))</x:f>
      </x:c>
      <x:c r="U140" s="217"/>
      <x:c r="V140" s="221" t="str">
        <x:f>IF($L140="","",$J140*$L140)</x:f>
      </x:c>
      <x:c r="W140" s="221" t="str">
        <x:f>IF($V140="","",$J140+$V140)</x:f>
      </x:c>
      <x:c r="X140" s="217" t="str">
        <x:f>IF($Y140="Ready","Review and inform supplier","")</x:f>
      </x:c>
      <x:c r="Y140" s="217" t="str">
        <x:f>IF(AND($B140="",$E140="",$I140=""),"",IF($B140="","Missing Assignment Number",IF($E140="","Select Job Title",IF($I140="","Enter Pay Rate",IF($S140="","Job Title not found","Ready")))))</x:f>
      </x:c>
    </x:row>
    <x:row r="141" ht="22" customHeight="1">
      <x:c r="A141" s="205"/>
      <x:c r="B141" s="205"/>
      <x:c r="C141" s="206"/>
      <x:c r="D141" s="205"/>
      <x:c r="E141" s="207"/>
      <x:c r="F141" s="208"/>
      <x:c r="G141" s="209" t="str">
        <x:f>IF($S141="","",IFERROR(VLOOKUP($S141,'Data'!$D$2:$G$14,3,FALSE),""))</x:f>
      </x:c>
      <x:c r="H141" s="210" t="str">
        <x:f>IF($G141="","",$G141/'Data'!$O$2/'Data'!$O$3)</x:f>
      </x:c>
      <x:c r="I141" s="211"/>
      <x:c r="J141" s="209" t="str">
        <x:f>IF(OR($E141="",$I141=""),"",$I141*'Data'!$O$2*'Data'!$O$3)</x:f>
      </x:c>
      <x:c r="K141" s="212" t="str">
        <x:f>IF(OR($J141="",$G141=""),"",$J141/$G141)</x:f>
      </x:c>
      <x:c r="L141" s="213" t="str">
        <x:f>IF($K141="","",VLOOKUP($K141,'Data'!$I$2:$L$6,3,TRUE))</x:f>
      </x:c>
      <x:c r="M141" s="210" t="str">
        <x:f>IF($L141="","",$I141*$L141)</x:f>
      </x:c>
      <x:c r="N141" s="214" t="str">
        <x:f>IF($M141="","",ROUNDDOWN($I141+$M141,2))</x:f>
      </x:c>
      <x:c r="O141" s="210" t="str">
        <x:f>IF($N141="","",ROUNDDOWN(ROUNDDOWN($N141,2)*$R141,3))</x:f>
      </x:c>
      <x:c r="P141" s="215"/>
      <x:c r="Q141" s="222" t="str">
        <x:f>IF($E141="","",IF(OR(RIGHT(UPPER(TRIM(SUBSTITUTE(CLEAN($E141),CHAR(160)," "))),2)="P1",RIGHT(UPPER(TRIM(SUBSTITUTE(CLEAN($E141),CHAR(160)," "))),2)="P2",RIGHT(UPPER(TRIM(SUBSTITUTE(CLEAN($E141),CHAR(160)," "))),2)="P3",RIGHT(UPPER(TRIM(SUBSTITUTE(CLEAN($E141),CHAR(160)," "))),2)="P4",ISNUMBER(SEARCH("INDUSTRIAL HYGIENIST 1 ENVIRONMENT",UPPER(TRIM(SUBSTITUTE(CLEAN($E141),CHAR(160)," ")))))),"PS","GS"))</x:f>
      </x:c>
      <x:c r="R141" s="223" t="str">
        <x:f>IF($Q141="","",IF($Q141="PS",'Data'!$O$5,'Data'!$O$4))</x:f>
      </x:c>
      <x:c r="S141" s="224" t="str">
        <x:f>IF($E141="","",IFERROR(VLOOKUP($E141,'Data'!$A$2:$B$114,2,FALSE),""))</x:f>
      </x:c>
      <x:c r="T141" s="217" t="str">
        <x:f>IF($K141="","",VLOOKUP($K141,'Data'!$I$2:$L$6,2,TRUE))</x:f>
      </x:c>
      <x:c r="U141" s="217"/>
      <x:c r="V141" s="221" t="str">
        <x:f>IF($L141="","",$J141*$L141)</x:f>
      </x:c>
      <x:c r="W141" s="221" t="str">
        <x:f>IF($V141="","",$J141+$V141)</x:f>
      </x:c>
      <x:c r="X141" s="217" t="str">
        <x:f>IF($Y141="Ready","Review and inform supplier","")</x:f>
      </x:c>
      <x:c r="Y141" s="217" t="str">
        <x:f>IF(AND($B141="",$E141="",$I141=""),"",IF($B141="","Missing Assignment Number",IF($E141="","Select Job Title",IF($I141="","Enter Pay Rate",IF($S141="","Job Title not found","Ready")))))</x:f>
      </x:c>
    </x:row>
    <x:row r="142" ht="22" customHeight="1">
      <x:c r="A142" s="205"/>
      <x:c r="B142" s="205"/>
      <x:c r="C142" s="206"/>
      <x:c r="D142" s="205"/>
      <x:c r="E142" s="207"/>
      <x:c r="F142" s="208"/>
      <x:c r="G142" s="209" t="str">
        <x:f>IF($S142="","",IFERROR(VLOOKUP($S142,'Data'!$D$2:$G$14,3,FALSE),""))</x:f>
      </x:c>
      <x:c r="H142" s="210" t="str">
        <x:f>IF($G142="","",$G142/'Data'!$O$2/'Data'!$O$3)</x:f>
      </x:c>
      <x:c r="I142" s="211"/>
      <x:c r="J142" s="209" t="str">
        <x:f>IF(OR($E142="",$I142=""),"",$I142*'Data'!$O$2*'Data'!$O$3)</x:f>
      </x:c>
      <x:c r="K142" s="212" t="str">
        <x:f>IF(OR($J142="",$G142=""),"",$J142/$G142)</x:f>
      </x:c>
      <x:c r="L142" s="213" t="str">
        <x:f>IF($K142="","",VLOOKUP($K142,'Data'!$I$2:$L$6,3,TRUE))</x:f>
      </x:c>
      <x:c r="M142" s="210" t="str">
        <x:f>IF($L142="","",$I142*$L142)</x:f>
      </x:c>
      <x:c r="N142" s="214" t="str">
        <x:f>IF($M142="","",ROUNDDOWN($I142+$M142,2))</x:f>
      </x:c>
      <x:c r="O142" s="210" t="str">
        <x:f>IF($N142="","",ROUNDDOWN(ROUNDDOWN($N142,2)*$R142,3))</x:f>
      </x:c>
      <x:c r="P142" s="215"/>
      <x:c r="Q142" s="222" t="str">
        <x:f>IF($E142="","",IF(OR(RIGHT(UPPER(TRIM(SUBSTITUTE(CLEAN($E142),CHAR(160)," "))),2)="P1",RIGHT(UPPER(TRIM(SUBSTITUTE(CLEAN($E142),CHAR(160)," "))),2)="P2",RIGHT(UPPER(TRIM(SUBSTITUTE(CLEAN($E142),CHAR(160)," "))),2)="P3",RIGHT(UPPER(TRIM(SUBSTITUTE(CLEAN($E142),CHAR(160)," "))),2)="P4",ISNUMBER(SEARCH("INDUSTRIAL HYGIENIST 1 ENVIRONMENT",UPPER(TRIM(SUBSTITUTE(CLEAN($E142),CHAR(160)," ")))))),"PS","GS"))</x:f>
      </x:c>
      <x:c r="R142" s="223" t="str">
        <x:f>IF($Q142="","",IF($Q142="PS",'Data'!$O$5,'Data'!$O$4))</x:f>
      </x:c>
      <x:c r="S142" s="224" t="str">
        <x:f>IF($E142="","",IFERROR(VLOOKUP($E142,'Data'!$A$2:$B$114,2,FALSE),""))</x:f>
      </x:c>
      <x:c r="T142" s="217" t="str">
        <x:f>IF($K142="","",VLOOKUP($K142,'Data'!$I$2:$L$6,2,TRUE))</x:f>
      </x:c>
      <x:c r="U142" s="217"/>
      <x:c r="V142" s="221" t="str">
        <x:f>IF($L142="","",$J142*$L142)</x:f>
      </x:c>
      <x:c r="W142" s="221" t="str">
        <x:f>IF($V142="","",$J142+$V142)</x:f>
      </x:c>
      <x:c r="X142" s="217" t="str">
        <x:f>IF($Y142="Ready","Review and inform supplier","")</x:f>
      </x:c>
      <x:c r="Y142" s="217" t="str">
        <x:f>IF(AND($B142="",$E142="",$I142=""),"",IF($B142="","Missing Assignment Number",IF($E142="","Select Job Title",IF($I142="","Enter Pay Rate",IF($S142="","Job Title not found","Ready")))))</x:f>
      </x:c>
    </x:row>
    <x:row r="143" ht="22" customHeight="1">
      <x:c r="A143" s="205"/>
      <x:c r="B143" s="205"/>
      <x:c r="C143" s="206"/>
      <x:c r="D143" s="205"/>
      <x:c r="E143" s="207"/>
      <x:c r="F143" s="208"/>
      <x:c r="G143" s="209" t="str">
        <x:f>IF($S143="","",IFERROR(VLOOKUP($S143,'Data'!$D$2:$G$14,3,FALSE),""))</x:f>
      </x:c>
      <x:c r="H143" s="210" t="str">
        <x:f>IF($G143="","",$G143/'Data'!$O$2/'Data'!$O$3)</x:f>
      </x:c>
      <x:c r="I143" s="211"/>
      <x:c r="J143" s="209" t="str">
        <x:f>IF(OR($E143="",$I143=""),"",$I143*'Data'!$O$2*'Data'!$O$3)</x:f>
      </x:c>
      <x:c r="K143" s="212" t="str">
        <x:f>IF(OR($J143="",$G143=""),"",$J143/$G143)</x:f>
      </x:c>
      <x:c r="L143" s="213" t="str">
        <x:f>IF($K143="","",VLOOKUP($K143,'Data'!$I$2:$L$6,3,TRUE))</x:f>
      </x:c>
      <x:c r="M143" s="210" t="str">
        <x:f>IF($L143="","",$I143*$L143)</x:f>
      </x:c>
      <x:c r="N143" s="214" t="str">
        <x:f>IF($M143="","",ROUNDDOWN($I143+$M143,2))</x:f>
      </x:c>
      <x:c r="O143" s="210" t="str">
        <x:f>IF($N143="","",ROUNDDOWN(ROUNDDOWN($N143,2)*$R143,3))</x:f>
      </x:c>
      <x:c r="P143" s="215"/>
      <x:c r="Q143" s="222" t="str">
        <x:f>IF($E143="","",IF(OR(RIGHT(UPPER(TRIM(SUBSTITUTE(CLEAN($E143),CHAR(160)," "))),2)="P1",RIGHT(UPPER(TRIM(SUBSTITUTE(CLEAN($E143),CHAR(160)," "))),2)="P2",RIGHT(UPPER(TRIM(SUBSTITUTE(CLEAN($E143),CHAR(160)," "))),2)="P3",RIGHT(UPPER(TRIM(SUBSTITUTE(CLEAN($E143),CHAR(160)," "))),2)="P4",ISNUMBER(SEARCH("INDUSTRIAL HYGIENIST 1 ENVIRONMENT",UPPER(TRIM(SUBSTITUTE(CLEAN($E143),CHAR(160)," ")))))),"PS","GS"))</x:f>
      </x:c>
      <x:c r="R143" s="223" t="str">
        <x:f>IF($Q143="","",IF($Q143="PS",'Data'!$O$5,'Data'!$O$4))</x:f>
      </x:c>
      <x:c r="S143" s="224" t="str">
        <x:f>IF($E143="","",IFERROR(VLOOKUP($E143,'Data'!$A$2:$B$114,2,FALSE),""))</x:f>
      </x:c>
      <x:c r="T143" s="217" t="str">
        <x:f>IF($K143="","",VLOOKUP($K143,'Data'!$I$2:$L$6,2,TRUE))</x:f>
      </x:c>
      <x:c r="U143" s="217"/>
      <x:c r="V143" s="221" t="str">
        <x:f>IF($L143="","",$J143*$L143)</x:f>
      </x:c>
      <x:c r="W143" s="221" t="str">
        <x:f>IF($V143="","",$J143+$V143)</x:f>
      </x:c>
      <x:c r="X143" s="217" t="str">
        <x:f>IF($Y143="Ready","Review and inform supplier","")</x:f>
      </x:c>
      <x:c r="Y143" s="217" t="str">
        <x:f>IF(AND($B143="",$E143="",$I143=""),"",IF($B143="","Missing Assignment Number",IF($E143="","Select Job Title",IF($I143="","Enter Pay Rate",IF($S143="","Job Title not found","Ready")))))</x:f>
      </x:c>
    </x:row>
    <x:row r="144" ht="22" customHeight="1">
      <x:c r="A144" s="205"/>
      <x:c r="B144" s="205"/>
      <x:c r="C144" s="206"/>
      <x:c r="D144" s="205"/>
      <x:c r="E144" s="207"/>
      <x:c r="F144" s="208"/>
      <x:c r="G144" s="209" t="str">
        <x:f>IF($S144="","",IFERROR(VLOOKUP($S144,'Data'!$D$2:$G$14,3,FALSE),""))</x:f>
      </x:c>
      <x:c r="H144" s="210" t="str">
        <x:f>IF($G144="","",$G144/'Data'!$O$2/'Data'!$O$3)</x:f>
      </x:c>
      <x:c r="I144" s="211"/>
      <x:c r="J144" s="209" t="str">
        <x:f>IF(OR($E144="",$I144=""),"",$I144*'Data'!$O$2*'Data'!$O$3)</x:f>
      </x:c>
      <x:c r="K144" s="212" t="str">
        <x:f>IF(OR($J144="",$G144=""),"",$J144/$G144)</x:f>
      </x:c>
      <x:c r="L144" s="213" t="str">
        <x:f>IF($K144="","",VLOOKUP($K144,'Data'!$I$2:$L$6,3,TRUE))</x:f>
      </x:c>
      <x:c r="M144" s="210" t="str">
        <x:f>IF($L144="","",$I144*$L144)</x:f>
      </x:c>
      <x:c r="N144" s="214" t="str">
        <x:f>IF($M144="","",ROUNDDOWN($I144+$M144,2))</x:f>
      </x:c>
      <x:c r="O144" s="210" t="str">
        <x:f>IF($N144="","",ROUNDDOWN(ROUNDDOWN($N144,2)*$R144,3))</x:f>
      </x:c>
      <x:c r="P144" s="215"/>
      <x:c r="Q144" s="222" t="str">
        <x:f>IF($E144="","",IF(OR(RIGHT(UPPER(TRIM(SUBSTITUTE(CLEAN($E144),CHAR(160)," "))),2)="P1",RIGHT(UPPER(TRIM(SUBSTITUTE(CLEAN($E144),CHAR(160)," "))),2)="P2",RIGHT(UPPER(TRIM(SUBSTITUTE(CLEAN($E144),CHAR(160)," "))),2)="P3",RIGHT(UPPER(TRIM(SUBSTITUTE(CLEAN($E144),CHAR(160)," "))),2)="P4",ISNUMBER(SEARCH("INDUSTRIAL HYGIENIST 1 ENVIRONMENT",UPPER(TRIM(SUBSTITUTE(CLEAN($E144),CHAR(160)," ")))))),"PS","GS"))</x:f>
      </x:c>
      <x:c r="R144" s="223" t="str">
        <x:f>IF($Q144="","",IF($Q144="PS",'Data'!$O$5,'Data'!$O$4))</x:f>
      </x:c>
      <x:c r="S144" s="224" t="str">
        <x:f>IF($E144="","",IFERROR(VLOOKUP($E144,'Data'!$A$2:$B$114,2,FALSE),""))</x:f>
      </x:c>
      <x:c r="T144" s="217" t="str">
        <x:f>IF($K144="","",VLOOKUP($K144,'Data'!$I$2:$L$6,2,TRUE))</x:f>
      </x:c>
      <x:c r="U144" s="217"/>
      <x:c r="V144" s="221" t="str">
        <x:f>IF($L144="","",$J144*$L144)</x:f>
      </x:c>
      <x:c r="W144" s="221" t="str">
        <x:f>IF($V144="","",$J144+$V144)</x:f>
      </x:c>
      <x:c r="X144" s="217" t="str">
        <x:f>IF($Y144="Ready","Review and inform supplier","")</x:f>
      </x:c>
      <x:c r="Y144" s="217" t="str">
        <x:f>IF(AND($B144="",$E144="",$I144=""),"",IF($B144="","Missing Assignment Number",IF($E144="","Select Job Title",IF($I144="","Enter Pay Rate",IF($S144="","Job Title not found","Ready")))))</x:f>
      </x:c>
    </x:row>
    <x:row r="145" ht="22" customHeight="1">
      <x:c r="A145" s="205"/>
      <x:c r="B145" s="205"/>
      <x:c r="C145" s="206"/>
      <x:c r="D145" s="205"/>
      <x:c r="E145" s="207"/>
      <x:c r="F145" s="208"/>
      <x:c r="G145" s="209" t="str">
        <x:f>IF($S145="","",IFERROR(VLOOKUP($S145,'Data'!$D$2:$G$14,3,FALSE),""))</x:f>
      </x:c>
      <x:c r="H145" s="210" t="str">
        <x:f>IF($G145="","",$G145/'Data'!$O$2/'Data'!$O$3)</x:f>
      </x:c>
      <x:c r="I145" s="211"/>
      <x:c r="J145" s="209" t="str">
        <x:f>IF(OR($E145="",$I145=""),"",$I145*'Data'!$O$2*'Data'!$O$3)</x:f>
      </x:c>
      <x:c r="K145" s="212" t="str">
        <x:f>IF(OR($J145="",$G145=""),"",$J145/$G145)</x:f>
      </x:c>
      <x:c r="L145" s="213" t="str">
        <x:f>IF($K145="","",VLOOKUP($K145,'Data'!$I$2:$L$6,3,TRUE))</x:f>
      </x:c>
      <x:c r="M145" s="210" t="str">
        <x:f>IF($L145="","",$I145*$L145)</x:f>
      </x:c>
      <x:c r="N145" s="214" t="str">
        <x:f>IF($M145="","",ROUNDDOWN($I145+$M145,2))</x:f>
      </x:c>
      <x:c r="O145" s="210" t="str">
        <x:f>IF($N145="","",ROUNDDOWN(ROUNDDOWN($N145,2)*$R145,3))</x:f>
      </x:c>
      <x:c r="P145" s="215"/>
      <x:c r="Q145" s="222" t="str">
        <x:f>IF($E145="","",IF(OR(RIGHT(UPPER(TRIM(SUBSTITUTE(CLEAN($E145),CHAR(160)," "))),2)="P1",RIGHT(UPPER(TRIM(SUBSTITUTE(CLEAN($E145),CHAR(160)," "))),2)="P2",RIGHT(UPPER(TRIM(SUBSTITUTE(CLEAN($E145),CHAR(160)," "))),2)="P3",RIGHT(UPPER(TRIM(SUBSTITUTE(CLEAN($E145),CHAR(160)," "))),2)="P4",ISNUMBER(SEARCH("INDUSTRIAL HYGIENIST 1 ENVIRONMENT",UPPER(TRIM(SUBSTITUTE(CLEAN($E145),CHAR(160)," ")))))),"PS","GS"))</x:f>
      </x:c>
      <x:c r="R145" s="223" t="str">
        <x:f>IF($Q145="","",IF($Q145="PS",'Data'!$O$5,'Data'!$O$4))</x:f>
      </x:c>
      <x:c r="S145" s="224" t="str">
        <x:f>IF($E145="","",IFERROR(VLOOKUP($E145,'Data'!$A$2:$B$114,2,FALSE),""))</x:f>
      </x:c>
      <x:c r="T145" s="217" t="str">
        <x:f>IF($K145="","",VLOOKUP($K145,'Data'!$I$2:$L$6,2,TRUE))</x:f>
      </x:c>
      <x:c r="U145" s="217"/>
      <x:c r="V145" s="221" t="str">
        <x:f>IF($L145="","",$J145*$L145)</x:f>
      </x:c>
      <x:c r="W145" s="221" t="str">
        <x:f>IF($V145="","",$J145+$V145)</x:f>
      </x:c>
      <x:c r="X145" s="217" t="str">
        <x:f>IF($Y145="Ready","Review and inform supplier","")</x:f>
      </x:c>
      <x:c r="Y145" s="217" t="str">
        <x:f>IF(AND($B145="",$E145="",$I145=""),"",IF($B145="","Missing Assignment Number",IF($E145="","Select Job Title",IF($I145="","Enter Pay Rate",IF($S145="","Job Title not found","Ready")))))</x:f>
      </x:c>
    </x:row>
    <x:row r="146" ht="22" customHeight="1">
      <x:c r="A146" s="205"/>
      <x:c r="B146" s="205"/>
      <x:c r="C146" s="206"/>
      <x:c r="D146" s="205"/>
      <x:c r="E146" s="207"/>
      <x:c r="F146" s="208"/>
      <x:c r="G146" s="209" t="str">
        <x:f>IF($S146="","",IFERROR(VLOOKUP($S146,'Data'!$D$2:$G$14,3,FALSE),""))</x:f>
      </x:c>
      <x:c r="H146" s="210" t="str">
        <x:f>IF($G146="","",$G146/'Data'!$O$2/'Data'!$O$3)</x:f>
      </x:c>
      <x:c r="I146" s="211"/>
      <x:c r="J146" s="209" t="str">
        <x:f>IF(OR($E146="",$I146=""),"",$I146*'Data'!$O$2*'Data'!$O$3)</x:f>
      </x:c>
      <x:c r="K146" s="212" t="str">
        <x:f>IF(OR($J146="",$G146=""),"",$J146/$G146)</x:f>
      </x:c>
      <x:c r="L146" s="213" t="str">
        <x:f>IF($K146="","",VLOOKUP($K146,'Data'!$I$2:$L$6,3,TRUE))</x:f>
      </x:c>
      <x:c r="M146" s="210" t="str">
        <x:f>IF($L146="","",$I146*$L146)</x:f>
      </x:c>
      <x:c r="N146" s="214" t="str">
        <x:f>IF($M146="","",ROUNDDOWN($I146+$M146,2))</x:f>
      </x:c>
      <x:c r="O146" s="210" t="str">
        <x:f>IF($N146="","",ROUNDDOWN(ROUNDDOWN($N146,2)*$R146,3))</x:f>
      </x:c>
      <x:c r="P146" s="215"/>
      <x:c r="Q146" s="222" t="str">
        <x:f>IF($E146="","",IF(OR(RIGHT(UPPER(TRIM(SUBSTITUTE(CLEAN($E146),CHAR(160)," "))),2)="P1",RIGHT(UPPER(TRIM(SUBSTITUTE(CLEAN($E146),CHAR(160)," "))),2)="P2",RIGHT(UPPER(TRIM(SUBSTITUTE(CLEAN($E146),CHAR(160)," "))),2)="P3",RIGHT(UPPER(TRIM(SUBSTITUTE(CLEAN($E146),CHAR(160)," "))),2)="P4",ISNUMBER(SEARCH("INDUSTRIAL HYGIENIST 1 ENVIRONMENT",UPPER(TRIM(SUBSTITUTE(CLEAN($E146),CHAR(160)," ")))))),"PS","GS"))</x:f>
      </x:c>
      <x:c r="R146" s="223" t="str">
        <x:f>IF($Q146="","",IF($Q146="PS",'Data'!$O$5,'Data'!$O$4))</x:f>
      </x:c>
      <x:c r="S146" s="224" t="str">
        <x:f>IF($E146="","",IFERROR(VLOOKUP($E146,'Data'!$A$2:$B$114,2,FALSE),""))</x:f>
      </x:c>
      <x:c r="T146" s="217" t="str">
        <x:f>IF($K146="","",VLOOKUP($K146,'Data'!$I$2:$L$6,2,TRUE))</x:f>
      </x:c>
      <x:c r="U146" s="217"/>
      <x:c r="V146" s="221" t="str">
        <x:f>IF($L146="","",$J146*$L146)</x:f>
      </x:c>
      <x:c r="W146" s="221" t="str">
        <x:f>IF($V146="","",$J146+$V146)</x:f>
      </x:c>
      <x:c r="X146" s="217" t="str">
        <x:f>IF($Y146="Ready","Review and inform supplier","")</x:f>
      </x:c>
      <x:c r="Y146" s="217" t="str">
        <x:f>IF(AND($B146="",$E146="",$I146=""),"",IF($B146="","Missing Assignment Number",IF($E146="","Select Job Title",IF($I146="","Enter Pay Rate",IF($S146="","Job Title not found","Ready")))))</x:f>
      </x:c>
    </x:row>
    <x:row r="147" ht="22" customHeight="1">
      <x:c r="A147" s="205"/>
      <x:c r="B147" s="205"/>
      <x:c r="C147" s="206"/>
      <x:c r="D147" s="205"/>
      <x:c r="E147" s="207"/>
      <x:c r="F147" s="208"/>
      <x:c r="G147" s="209" t="str">
        <x:f>IF($S147="","",IFERROR(VLOOKUP($S147,'Data'!$D$2:$G$14,3,FALSE),""))</x:f>
      </x:c>
      <x:c r="H147" s="210" t="str">
        <x:f>IF($G147="","",$G147/'Data'!$O$2/'Data'!$O$3)</x:f>
      </x:c>
      <x:c r="I147" s="211"/>
      <x:c r="J147" s="209" t="str">
        <x:f>IF(OR($E147="",$I147=""),"",$I147*'Data'!$O$2*'Data'!$O$3)</x:f>
      </x:c>
      <x:c r="K147" s="212" t="str">
        <x:f>IF(OR($J147="",$G147=""),"",$J147/$G147)</x:f>
      </x:c>
      <x:c r="L147" s="213" t="str">
        <x:f>IF($K147="","",VLOOKUP($K147,'Data'!$I$2:$L$6,3,TRUE))</x:f>
      </x:c>
      <x:c r="M147" s="210" t="str">
        <x:f>IF($L147="","",$I147*$L147)</x:f>
      </x:c>
      <x:c r="N147" s="214" t="str">
        <x:f>IF($M147="","",ROUNDDOWN($I147+$M147,2))</x:f>
      </x:c>
      <x:c r="O147" s="210" t="str">
        <x:f>IF($N147="","",ROUNDDOWN(ROUNDDOWN($N147,2)*$R147,3))</x:f>
      </x:c>
      <x:c r="P147" s="215"/>
      <x:c r="Q147" s="222" t="str">
        <x:f>IF($E147="","",IF(OR(RIGHT(UPPER(TRIM(SUBSTITUTE(CLEAN($E147),CHAR(160)," "))),2)="P1",RIGHT(UPPER(TRIM(SUBSTITUTE(CLEAN($E147),CHAR(160)," "))),2)="P2",RIGHT(UPPER(TRIM(SUBSTITUTE(CLEAN($E147),CHAR(160)," "))),2)="P3",RIGHT(UPPER(TRIM(SUBSTITUTE(CLEAN($E147),CHAR(160)," "))),2)="P4",ISNUMBER(SEARCH("INDUSTRIAL HYGIENIST 1 ENVIRONMENT",UPPER(TRIM(SUBSTITUTE(CLEAN($E147),CHAR(160)," ")))))),"PS","GS"))</x:f>
      </x:c>
      <x:c r="R147" s="223" t="str">
        <x:f>IF($Q147="","",IF($Q147="PS",'Data'!$O$5,'Data'!$O$4))</x:f>
      </x:c>
      <x:c r="S147" s="224" t="str">
        <x:f>IF($E147="","",IFERROR(VLOOKUP($E147,'Data'!$A$2:$B$114,2,FALSE),""))</x:f>
      </x:c>
      <x:c r="T147" s="217" t="str">
        <x:f>IF($K147="","",VLOOKUP($K147,'Data'!$I$2:$L$6,2,TRUE))</x:f>
      </x:c>
      <x:c r="U147" s="217"/>
      <x:c r="V147" s="221" t="str">
        <x:f>IF($L147="","",$J147*$L147)</x:f>
      </x:c>
      <x:c r="W147" s="221" t="str">
        <x:f>IF($V147="","",$J147+$V147)</x:f>
      </x:c>
      <x:c r="X147" s="217" t="str">
        <x:f>IF($Y147="Ready","Review and inform supplier","")</x:f>
      </x:c>
      <x:c r="Y147" s="217" t="str">
        <x:f>IF(AND($B147="",$E147="",$I147=""),"",IF($B147="","Missing Assignment Number",IF($E147="","Select Job Title",IF($I147="","Enter Pay Rate",IF($S147="","Job Title not found","Ready")))))</x:f>
      </x:c>
    </x:row>
    <x:row r="148" ht="22" customHeight="1">
      <x:c r="A148" s="205"/>
      <x:c r="B148" s="205"/>
      <x:c r="C148" s="206"/>
      <x:c r="D148" s="205"/>
      <x:c r="E148" s="207"/>
      <x:c r="F148" s="208"/>
      <x:c r="G148" s="209" t="str">
        <x:f>IF($S148="","",IFERROR(VLOOKUP($S148,'Data'!$D$2:$G$14,3,FALSE),""))</x:f>
      </x:c>
      <x:c r="H148" s="210" t="str">
        <x:f>IF($G148="","",$G148/'Data'!$O$2/'Data'!$O$3)</x:f>
      </x:c>
      <x:c r="I148" s="211"/>
      <x:c r="J148" s="209" t="str">
        <x:f>IF(OR($E148="",$I148=""),"",$I148*'Data'!$O$2*'Data'!$O$3)</x:f>
      </x:c>
      <x:c r="K148" s="212" t="str">
        <x:f>IF(OR($J148="",$G148=""),"",$J148/$G148)</x:f>
      </x:c>
      <x:c r="L148" s="213" t="str">
        <x:f>IF($K148="","",VLOOKUP($K148,'Data'!$I$2:$L$6,3,TRUE))</x:f>
      </x:c>
      <x:c r="M148" s="210" t="str">
        <x:f>IF($L148="","",$I148*$L148)</x:f>
      </x:c>
      <x:c r="N148" s="214" t="str">
        <x:f>IF($M148="","",ROUNDDOWN($I148+$M148,2))</x:f>
      </x:c>
      <x:c r="O148" s="210" t="str">
        <x:f>IF($N148="","",ROUNDDOWN(ROUNDDOWN($N148,2)*$R148,3))</x:f>
      </x:c>
      <x:c r="P148" s="215"/>
      <x:c r="Q148" s="222" t="str">
        <x:f>IF($E148="","",IF(OR(RIGHT(UPPER(TRIM(SUBSTITUTE(CLEAN($E148),CHAR(160)," "))),2)="P1",RIGHT(UPPER(TRIM(SUBSTITUTE(CLEAN($E148),CHAR(160)," "))),2)="P2",RIGHT(UPPER(TRIM(SUBSTITUTE(CLEAN($E148),CHAR(160)," "))),2)="P3",RIGHT(UPPER(TRIM(SUBSTITUTE(CLEAN($E148),CHAR(160)," "))),2)="P4",ISNUMBER(SEARCH("INDUSTRIAL HYGIENIST 1 ENVIRONMENT",UPPER(TRIM(SUBSTITUTE(CLEAN($E148),CHAR(160)," ")))))),"PS","GS"))</x:f>
      </x:c>
      <x:c r="R148" s="223" t="str">
        <x:f>IF($Q148="","",IF($Q148="PS",'Data'!$O$5,'Data'!$O$4))</x:f>
      </x:c>
      <x:c r="S148" s="224" t="str">
        <x:f>IF($E148="","",IFERROR(VLOOKUP($E148,'Data'!$A$2:$B$114,2,FALSE),""))</x:f>
      </x:c>
      <x:c r="T148" s="217" t="str">
        <x:f>IF($K148="","",VLOOKUP($K148,'Data'!$I$2:$L$6,2,TRUE))</x:f>
      </x:c>
      <x:c r="U148" s="217"/>
      <x:c r="V148" s="221" t="str">
        <x:f>IF($L148="","",$J148*$L148)</x:f>
      </x:c>
      <x:c r="W148" s="221" t="str">
        <x:f>IF($V148="","",$J148+$V148)</x:f>
      </x:c>
      <x:c r="X148" s="217" t="str">
        <x:f>IF($Y148="Ready","Review and inform supplier","")</x:f>
      </x:c>
      <x:c r="Y148" s="217" t="str">
        <x:f>IF(AND($B148="",$E148="",$I148=""),"",IF($B148="","Missing Assignment Number",IF($E148="","Select Job Title",IF($I148="","Enter Pay Rate",IF($S148="","Job Title not found","Ready")))))</x:f>
      </x:c>
    </x:row>
    <x:row r="149" ht="22" customHeight="1">
      <x:c r="A149" s="205"/>
      <x:c r="B149" s="205"/>
      <x:c r="C149" s="206"/>
      <x:c r="D149" s="205"/>
      <x:c r="E149" s="207"/>
      <x:c r="F149" s="208"/>
      <x:c r="G149" s="209" t="str">
        <x:f>IF($S149="","",IFERROR(VLOOKUP($S149,'Data'!$D$2:$G$14,3,FALSE),""))</x:f>
      </x:c>
      <x:c r="H149" s="210" t="str">
        <x:f>IF($G149="","",$G149/'Data'!$O$2/'Data'!$O$3)</x:f>
      </x:c>
      <x:c r="I149" s="211"/>
      <x:c r="J149" s="209" t="str">
        <x:f>IF(OR($E149="",$I149=""),"",$I149*'Data'!$O$2*'Data'!$O$3)</x:f>
      </x:c>
      <x:c r="K149" s="212" t="str">
        <x:f>IF(OR($J149="",$G149=""),"",$J149/$G149)</x:f>
      </x:c>
      <x:c r="L149" s="213" t="str">
        <x:f>IF($K149="","",VLOOKUP($K149,'Data'!$I$2:$L$6,3,TRUE))</x:f>
      </x:c>
      <x:c r="M149" s="210" t="str">
        <x:f>IF($L149="","",$I149*$L149)</x:f>
      </x:c>
      <x:c r="N149" s="214" t="str">
        <x:f>IF($M149="","",ROUNDDOWN($I149+$M149,2))</x:f>
      </x:c>
      <x:c r="O149" s="210" t="str">
        <x:f>IF($N149="","",ROUNDDOWN(ROUNDDOWN($N149,2)*$R149,3))</x:f>
      </x:c>
      <x:c r="P149" s="215"/>
      <x:c r="Q149" s="222" t="str">
        <x:f>IF($E149="","",IF(OR(RIGHT(UPPER(TRIM(SUBSTITUTE(CLEAN($E149),CHAR(160)," "))),2)="P1",RIGHT(UPPER(TRIM(SUBSTITUTE(CLEAN($E149),CHAR(160)," "))),2)="P2",RIGHT(UPPER(TRIM(SUBSTITUTE(CLEAN($E149),CHAR(160)," "))),2)="P3",RIGHT(UPPER(TRIM(SUBSTITUTE(CLEAN($E149),CHAR(160)," "))),2)="P4",ISNUMBER(SEARCH("INDUSTRIAL HYGIENIST 1 ENVIRONMENT",UPPER(TRIM(SUBSTITUTE(CLEAN($E149),CHAR(160)," ")))))),"PS","GS"))</x:f>
      </x:c>
      <x:c r="R149" s="223" t="str">
        <x:f>IF($Q149="","",IF($Q149="PS",'Data'!$O$5,'Data'!$O$4))</x:f>
      </x:c>
      <x:c r="S149" s="224" t="str">
        <x:f>IF($E149="","",IFERROR(VLOOKUP($E149,'Data'!$A$2:$B$114,2,FALSE),""))</x:f>
      </x:c>
      <x:c r="T149" s="217" t="str">
        <x:f>IF($K149="","",VLOOKUP($K149,'Data'!$I$2:$L$6,2,TRUE))</x:f>
      </x:c>
      <x:c r="U149" s="217"/>
      <x:c r="V149" s="221" t="str">
        <x:f>IF($L149="","",$J149*$L149)</x:f>
      </x:c>
      <x:c r="W149" s="221" t="str">
        <x:f>IF($V149="","",$J149+$V149)</x:f>
      </x:c>
      <x:c r="X149" s="217" t="str">
        <x:f>IF($Y149="Ready","Review and inform supplier","")</x:f>
      </x:c>
      <x:c r="Y149" s="217" t="str">
        <x:f>IF(AND($B149="",$E149="",$I149=""),"",IF($B149="","Missing Assignment Number",IF($E149="","Select Job Title",IF($I149="","Enter Pay Rate",IF($S149="","Job Title not found","Ready")))))</x:f>
      </x:c>
    </x:row>
    <x:row r="150" ht="22" customHeight="1">
      <x:c r="A150" s="205"/>
      <x:c r="B150" s="205"/>
      <x:c r="C150" s="206"/>
      <x:c r="D150" s="205"/>
      <x:c r="E150" s="207"/>
      <x:c r="F150" s="208"/>
      <x:c r="G150" s="209" t="str">
        <x:f>IF($S150="","",IFERROR(VLOOKUP($S150,'Data'!$D$2:$G$14,3,FALSE),""))</x:f>
      </x:c>
      <x:c r="H150" s="210" t="str">
        <x:f>IF($G150="","",$G150/'Data'!$O$2/'Data'!$O$3)</x:f>
      </x:c>
      <x:c r="I150" s="211"/>
      <x:c r="J150" s="209" t="str">
        <x:f>IF(OR($E150="",$I150=""),"",$I150*'Data'!$O$2*'Data'!$O$3)</x:f>
      </x:c>
      <x:c r="K150" s="212" t="str">
        <x:f>IF(OR($J150="",$G150=""),"",$J150/$G150)</x:f>
      </x:c>
      <x:c r="L150" s="213" t="str">
        <x:f>IF($K150="","",VLOOKUP($K150,'Data'!$I$2:$L$6,3,TRUE))</x:f>
      </x:c>
      <x:c r="M150" s="210" t="str">
        <x:f>IF($L150="","",$I150*$L150)</x:f>
      </x:c>
      <x:c r="N150" s="214" t="str">
        <x:f>IF($M150="","",ROUNDDOWN($I150+$M150,2))</x:f>
      </x:c>
      <x:c r="O150" s="210" t="str">
        <x:f>IF($N150="","",ROUNDDOWN(ROUNDDOWN($N150,2)*$R150,3))</x:f>
      </x:c>
      <x:c r="P150" s="215"/>
      <x:c r="Q150" s="222" t="str">
        <x:f>IF($E150="","",IF(OR(RIGHT(UPPER(TRIM(SUBSTITUTE(CLEAN($E150),CHAR(160)," "))),2)="P1",RIGHT(UPPER(TRIM(SUBSTITUTE(CLEAN($E150),CHAR(160)," "))),2)="P2",RIGHT(UPPER(TRIM(SUBSTITUTE(CLEAN($E150),CHAR(160)," "))),2)="P3",RIGHT(UPPER(TRIM(SUBSTITUTE(CLEAN($E150),CHAR(160)," "))),2)="P4",ISNUMBER(SEARCH("INDUSTRIAL HYGIENIST 1 ENVIRONMENT",UPPER(TRIM(SUBSTITUTE(CLEAN($E150),CHAR(160)," ")))))),"PS","GS"))</x:f>
      </x:c>
      <x:c r="R150" s="223" t="str">
        <x:f>IF($Q150="","",IF($Q150="PS",'Data'!$O$5,'Data'!$O$4))</x:f>
      </x:c>
      <x:c r="S150" s="224" t="str">
        <x:f>IF($E150="","",IFERROR(VLOOKUP($E150,'Data'!$A$2:$B$114,2,FALSE),""))</x:f>
      </x:c>
      <x:c r="T150" s="217" t="str">
        <x:f>IF($K150="","",VLOOKUP($K150,'Data'!$I$2:$L$6,2,TRUE))</x:f>
      </x:c>
      <x:c r="U150" s="217"/>
      <x:c r="V150" s="221" t="str">
        <x:f>IF($L150="","",$J150*$L150)</x:f>
      </x:c>
      <x:c r="W150" s="221" t="str">
        <x:f>IF($V150="","",$J150+$V150)</x:f>
      </x:c>
      <x:c r="X150" s="217" t="str">
        <x:f>IF($Y150="Ready","Review and inform supplier","")</x:f>
      </x:c>
      <x:c r="Y150" s="217" t="str">
        <x:f>IF(AND($B150="",$E150="",$I150=""),"",IF($B150="","Missing Assignment Number",IF($E150="","Select Job Title",IF($I150="","Enter Pay Rate",IF($S150="","Job Title not found","Ready")))))</x:f>
      </x:c>
    </x:row>
    <x:row r="151" ht="22" customHeight="1">
      <x:c r="A151" s="205"/>
      <x:c r="B151" s="205"/>
      <x:c r="C151" s="206"/>
      <x:c r="D151" s="205"/>
      <x:c r="E151" s="207"/>
      <x:c r="F151" s="208"/>
      <x:c r="G151" s="209" t="str">
        <x:f>IF($S151="","",IFERROR(VLOOKUP($S151,'Data'!$D$2:$G$14,3,FALSE),""))</x:f>
      </x:c>
      <x:c r="H151" s="210" t="str">
        <x:f>IF($G151="","",$G151/'Data'!$O$2/'Data'!$O$3)</x:f>
      </x:c>
      <x:c r="I151" s="211"/>
      <x:c r="J151" s="209" t="str">
        <x:f>IF(OR($E151="",$I151=""),"",$I151*'Data'!$O$2*'Data'!$O$3)</x:f>
      </x:c>
      <x:c r="K151" s="212" t="str">
        <x:f>IF(OR($J151="",$G151=""),"",$J151/$G151)</x:f>
      </x:c>
      <x:c r="L151" s="213" t="str">
        <x:f>IF($K151="","",VLOOKUP($K151,'Data'!$I$2:$L$6,3,TRUE))</x:f>
      </x:c>
      <x:c r="M151" s="210" t="str">
        <x:f>IF($L151="","",$I151*$L151)</x:f>
      </x:c>
      <x:c r="N151" s="214" t="str">
        <x:f>IF($M151="","",ROUNDDOWN($I151+$M151,2))</x:f>
      </x:c>
      <x:c r="O151" s="210" t="str">
        <x:f>IF($N151="","",ROUNDDOWN(ROUNDDOWN($N151,2)*$R151,3))</x:f>
      </x:c>
      <x:c r="P151" s="215"/>
      <x:c r="Q151" s="222" t="str">
        <x:f>IF($E151="","",IF(OR(RIGHT(UPPER(TRIM(SUBSTITUTE(CLEAN($E151),CHAR(160)," "))),2)="P1",RIGHT(UPPER(TRIM(SUBSTITUTE(CLEAN($E151),CHAR(160)," "))),2)="P2",RIGHT(UPPER(TRIM(SUBSTITUTE(CLEAN($E151),CHAR(160)," "))),2)="P3",RIGHT(UPPER(TRIM(SUBSTITUTE(CLEAN($E151),CHAR(160)," "))),2)="P4",ISNUMBER(SEARCH("INDUSTRIAL HYGIENIST 1 ENVIRONMENT",UPPER(TRIM(SUBSTITUTE(CLEAN($E151),CHAR(160)," ")))))),"PS","GS"))</x:f>
      </x:c>
      <x:c r="R151" s="223" t="str">
        <x:f>IF($Q151="","",IF($Q151="PS",'Data'!$O$5,'Data'!$O$4))</x:f>
      </x:c>
      <x:c r="S151" s="224" t="str">
        <x:f>IF($E151="","",IFERROR(VLOOKUP($E151,'Data'!$A$2:$B$114,2,FALSE),""))</x:f>
      </x:c>
      <x:c r="T151" s="217" t="str">
        <x:f>IF($K151="","",VLOOKUP($K151,'Data'!$I$2:$L$6,2,TRUE))</x:f>
      </x:c>
      <x:c r="U151" s="217"/>
      <x:c r="V151" s="221" t="str">
        <x:f>IF($L151="","",$J151*$L151)</x:f>
      </x:c>
      <x:c r="W151" s="221" t="str">
        <x:f>IF($V151="","",$J151+$V151)</x:f>
      </x:c>
      <x:c r="X151" s="217" t="str">
        <x:f>IF($Y151="Ready","Review and inform supplier","")</x:f>
      </x:c>
      <x:c r="Y151" s="217" t="str">
        <x:f>IF(AND($B151="",$E151="",$I151=""),"",IF($B151="","Missing Assignment Number",IF($E151="","Select Job Title",IF($I151="","Enter Pay Rate",IF($S151="","Job Title not found","Ready")))))</x:f>
      </x:c>
    </x:row>
    <x:row r="152" ht="22" customHeight="1">
      <x:c r="A152" s="205"/>
      <x:c r="B152" s="205"/>
      <x:c r="C152" s="206"/>
      <x:c r="D152" s="205"/>
      <x:c r="E152" s="207"/>
      <x:c r="F152" s="208"/>
      <x:c r="G152" s="209" t="str">
        <x:f>IF($S152="","",IFERROR(VLOOKUP($S152,'Data'!$D$2:$G$14,3,FALSE),""))</x:f>
      </x:c>
      <x:c r="H152" s="210" t="str">
        <x:f>IF($G152="","",$G152/'Data'!$O$2/'Data'!$O$3)</x:f>
      </x:c>
      <x:c r="I152" s="211"/>
      <x:c r="J152" s="209" t="str">
        <x:f>IF(OR($E152="",$I152=""),"",$I152*'Data'!$O$2*'Data'!$O$3)</x:f>
      </x:c>
      <x:c r="K152" s="212" t="str">
        <x:f>IF(OR($J152="",$G152=""),"",$J152/$G152)</x:f>
      </x:c>
      <x:c r="L152" s="213" t="str">
        <x:f>IF($K152="","",VLOOKUP($K152,'Data'!$I$2:$L$6,3,TRUE))</x:f>
      </x:c>
      <x:c r="M152" s="210" t="str">
        <x:f>IF($L152="","",$I152*$L152)</x:f>
      </x:c>
      <x:c r="N152" s="214" t="str">
        <x:f>IF($M152="","",ROUNDDOWN($I152+$M152,2))</x:f>
      </x:c>
      <x:c r="O152" s="210" t="str">
        <x:f>IF($N152="","",ROUNDDOWN(ROUNDDOWN($N152,2)*$R152,3))</x:f>
      </x:c>
      <x:c r="P152" s="215"/>
      <x:c r="Q152" s="222" t="str">
        <x:f>IF($E152="","",IF(OR(RIGHT(UPPER(TRIM(SUBSTITUTE(CLEAN($E152),CHAR(160)," "))),2)="P1",RIGHT(UPPER(TRIM(SUBSTITUTE(CLEAN($E152),CHAR(160)," "))),2)="P2",RIGHT(UPPER(TRIM(SUBSTITUTE(CLEAN($E152),CHAR(160)," "))),2)="P3",RIGHT(UPPER(TRIM(SUBSTITUTE(CLEAN($E152),CHAR(160)," "))),2)="P4",ISNUMBER(SEARCH("INDUSTRIAL HYGIENIST 1 ENVIRONMENT",UPPER(TRIM(SUBSTITUTE(CLEAN($E152),CHAR(160)," ")))))),"PS","GS"))</x:f>
      </x:c>
      <x:c r="R152" s="223" t="str">
        <x:f>IF($Q152="","",IF($Q152="PS",'Data'!$O$5,'Data'!$O$4))</x:f>
      </x:c>
      <x:c r="S152" s="224" t="str">
        <x:f>IF($E152="","",IFERROR(VLOOKUP($E152,'Data'!$A$2:$B$114,2,FALSE),""))</x:f>
      </x:c>
      <x:c r="T152" s="217" t="str">
        <x:f>IF($K152="","",VLOOKUP($K152,'Data'!$I$2:$L$6,2,TRUE))</x:f>
      </x:c>
      <x:c r="U152" s="217"/>
      <x:c r="V152" s="221" t="str">
        <x:f>IF($L152="","",$J152*$L152)</x:f>
      </x:c>
      <x:c r="W152" s="221" t="str">
        <x:f>IF($V152="","",$J152+$V152)</x:f>
      </x:c>
      <x:c r="X152" s="217" t="str">
        <x:f>IF($Y152="Ready","Review and inform supplier","")</x:f>
      </x:c>
      <x:c r="Y152" s="217" t="str">
        <x:f>IF(AND($B152="",$E152="",$I152=""),"",IF($B152="","Missing Assignment Number",IF($E152="","Select Job Title",IF($I152="","Enter Pay Rate",IF($S152="","Job Title not found","Ready")))))</x:f>
      </x:c>
    </x:row>
    <x:row r="153" ht="22" customHeight="1">
      <x:c r="A153" s="205"/>
      <x:c r="B153" s="205"/>
      <x:c r="C153" s="206"/>
      <x:c r="D153" s="205"/>
      <x:c r="E153" s="207"/>
      <x:c r="F153" s="208"/>
      <x:c r="G153" s="209" t="str">
        <x:f>IF($S153="","",IFERROR(VLOOKUP($S153,'Data'!$D$2:$G$14,3,FALSE),""))</x:f>
      </x:c>
      <x:c r="H153" s="210" t="str">
        <x:f>IF($G153="","",$G153/'Data'!$O$2/'Data'!$O$3)</x:f>
      </x:c>
      <x:c r="I153" s="211"/>
      <x:c r="J153" s="209" t="str">
        <x:f>IF(OR($E153="",$I153=""),"",$I153*'Data'!$O$2*'Data'!$O$3)</x:f>
      </x:c>
      <x:c r="K153" s="212" t="str">
        <x:f>IF(OR($J153="",$G153=""),"",$J153/$G153)</x:f>
      </x:c>
      <x:c r="L153" s="213" t="str">
        <x:f>IF($K153="","",VLOOKUP($K153,'Data'!$I$2:$L$6,3,TRUE))</x:f>
      </x:c>
      <x:c r="M153" s="210" t="str">
        <x:f>IF($L153="","",$I153*$L153)</x:f>
      </x:c>
      <x:c r="N153" s="214" t="str">
        <x:f>IF($M153="","",ROUNDDOWN($I153+$M153,2))</x:f>
      </x:c>
      <x:c r="O153" s="210" t="str">
        <x:f>IF($N153="","",ROUNDDOWN(ROUNDDOWN($N153,2)*$R153,3))</x:f>
      </x:c>
      <x:c r="P153" s="215"/>
      <x:c r="Q153" s="222" t="str">
        <x:f>IF($E153="","",IF(OR(RIGHT(UPPER(TRIM(SUBSTITUTE(CLEAN($E153),CHAR(160)," "))),2)="P1",RIGHT(UPPER(TRIM(SUBSTITUTE(CLEAN($E153),CHAR(160)," "))),2)="P2",RIGHT(UPPER(TRIM(SUBSTITUTE(CLEAN($E153),CHAR(160)," "))),2)="P3",RIGHT(UPPER(TRIM(SUBSTITUTE(CLEAN($E153),CHAR(160)," "))),2)="P4",ISNUMBER(SEARCH("INDUSTRIAL HYGIENIST 1 ENVIRONMENT",UPPER(TRIM(SUBSTITUTE(CLEAN($E153),CHAR(160)," ")))))),"PS","GS"))</x:f>
      </x:c>
      <x:c r="R153" s="223" t="str">
        <x:f>IF($Q153="","",IF($Q153="PS",'Data'!$O$5,'Data'!$O$4))</x:f>
      </x:c>
      <x:c r="S153" s="224" t="str">
        <x:f>IF($E153="","",IFERROR(VLOOKUP($E153,'Data'!$A$2:$B$114,2,FALSE),""))</x:f>
      </x:c>
      <x:c r="T153" s="217" t="str">
        <x:f>IF($K153="","",VLOOKUP($K153,'Data'!$I$2:$L$6,2,TRUE))</x:f>
      </x:c>
      <x:c r="U153" s="217"/>
      <x:c r="V153" s="221" t="str">
        <x:f>IF($L153="","",$J153*$L153)</x:f>
      </x:c>
      <x:c r="W153" s="221" t="str">
        <x:f>IF($V153="","",$J153+$V153)</x:f>
      </x:c>
      <x:c r="X153" s="217" t="str">
        <x:f>IF($Y153="Ready","Review and inform supplier","")</x:f>
      </x:c>
      <x:c r="Y153" s="217" t="str">
        <x:f>IF(AND($B153="",$E153="",$I153=""),"",IF($B153="","Missing Assignment Number",IF($E153="","Select Job Title",IF($I153="","Enter Pay Rate",IF($S153="","Job Title not found","Ready")))))</x:f>
      </x:c>
    </x:row>
    <x:row r="154" ht="22" customHeight="1">
      <x:c r="A154" s="205"/>
      <x:c r="B154" s="205"/>
      <x:c r="C154" s="206"/>
      <x:c r="D154" s="205"/>
      <x:c r="E154" s="207"/>
      <x:c r="F154" s="208"/>
      <x:c r="G154" s="209" t="str">
        <x:f>IF($S154="","",IFERROR(VLOOKUP($S154,'Data'!$D$2:$G$14,3,FALSE),""))</x:f>
      </x:c>
      <x:c r="H154" s="210" t="str">
        <x:f>IF($G154="","",$G154/'Data'!$O$2/'Data'!$O$3)</x:f>
      </x:c>
      <x:c r="I154" s="211"/>
      <x:c r="J154" s="209" t="str">
        <x:f>IF(OR($E154="",$I154=""),"",$I154*'Data'!$O$2*'Data'!$O$3)</x:f>
      </x:c>
      <x:c r="K154" s="212" t="str">
        <x:f>IF(OR($J154="",$G154=""),"",$J154/$G154)</x:f>
      </x:c>
      <x:c r="L154" s="213" t="str">
        <x:f>IF($K154="","",VLOOKUP($K154,'Data'!$I$2:$L$6,3,TRUE))</x:f>
      </x:c>
      <x:c r="M154" s="210" t="str">
        <x:f>IF($L154="","",$I154*$L154)</x:f>
      </x:c>
      <x:c r="N154" s="214" t="str">
        <x:f>IF($M154="","",ROUNDDOWN($I154+$M154,2))</x:f>
      </x:c>
      <x:c r="O154" s="210" t="str">
        <x:f>IF($N154="","",ROUNDDOWN(ROUNDDOWN($N154,2)*$R154,3))</x:f>
      </x:c>
      <x:c r="P154" s="215"/>
      <x:c r="Q154" s="222" t="str">
        <x:f>IF($E154="","",IF(OR(RIGHT(UPPER(TRIM(SUBSTITUTE(CLEAN($E154),CHAR(160)," "))),2)="P1",RIGHT(UPPER(TRIM(SUBSTITUTE(CLEAN($E154),CHAR(160)," "))),2)="P2",RIGHT(UPPER(TRIM(SUBSTITUTE(CLEAN($E154),CHAR(160)," "))),2)="P3",RIGHT(UPPER(TRIM(SUBSTITUTE(CLEAN($E154),CHAR(160)," "))),2)="P4",ISNUMBER(SEARCH("INDUSTRIAL HYGIENIST 1 ENVIRONMENT",UPPER(TRIM(SUBSTITUTE(CLEAN($E154),CHAR(160)," ")))))),"PS","GS"))</x:f>
      </x:c>
      <x:c r="R154" s="223" t="str">
        <x:f>IF($Q154="","",IF($Q154="PS",'Data'!$O$5,'Data'!$O$4))</x:f>
      </x:c>
      <x:c r="S154" s="224" t="str">
        <x:f>IF($E154="","",IFERROR(VLOOKUP($E154,'Data'!$A$2:$B$114,2,FALSE),""))</x:f>
      </x:c>
      <x:c r="T154" s="217" t="str">
        <x:f>IF($K154="","",VLOOKUP($K154,'Data'!$I$2:$L$6,2,TRUE))</x:f>
      </x:c>
      <x:c r="U154" s="217"/>
      <x:c r="V154" s="221" t="str">
        <x:f>IF($L154="","",$J154*$L154)</x:f>
      </x:c>
      <x:c r="W154" s="221" t="str">
        <x:f>IF($V154="","",$J154+$V154)</x:f>
      </x:c>
      <x:c r="X154" s="217" t="str">
        <x:f>IF($Y154="Ready","Review and inform supplier","")</x:f>
      </x:c>
      <x:c r="Y154" s="217" t="str">
        <x:f>IF(AND($B154="",$E154="",$I154=""),"",IF($B154="","Missing Assignment Number",IF($E154="","Select Job Title",IF($I154="","Enter Pay Rate",IF($S154="","Job Title not found","Ready")))))</x:f>
      </x:c>
    </x:row>
    <x:row r="155" ht="22" customHeight="1">
      <x:c r="A155" s="205"/>
      <x:c r="B155" s="205"/>
      <x:c r="C155" s="206"/>
      <x:c r="D155" s="205"/>
      <x:c r="E155" s="207"/>
      <x:c r="F155" s="208"/>
      <x:c r="G155" s="209" t="str">
        <x:f>IF($S155="","",IFERROR(VLOOKUP($S155,'Data'!$D$2:$G$14,3,FALSE),""))</x:f>
      </x:c>
      <x:c r="H155" s="210" t="str">
        <x:f>IF($G155="","",$G155/'Data'!$O$2/'Data'!$O$3)</x:f>
      </x:c>
      <x:c r="I155" s="211"/>
      <x:c r="J155" s="209" t="str">
        <x:f>IF(OR($E155="",$I155=""),"",$I155*'Data'!$O$2*'Data'!$O$3)</x:f>
      </x:c>
      <x:c r="K155" s="212" t="str">
        <x:f>IF(OR($J155="",$G155=""),"",$J155/$G155)</x:f>
      </x:c>
      <x:c r="L155" s="213" t="str">
        <x:f>IF($K155="","",VLOOKUP($K155,'Data'!$I$2:$L$6,3,TRUE))</x:f>
      </x:c>
      <x:c r="M155" s="210" t="str">
        <x:f>IF($L155="","",$I155*$L155)</x:f>
      </x:c>
      <x:c r="N155" s="214" t="str">
        <x:f>IF($M155="","",ROUNDDOWN($I155+$M155,2))</x:f>
      </x:c>
      <x:c r="O155" s="210" t="str">
        <x:f>IF($N155="","",ROUNDDOWN(ROUNDDOWN($N155,2)*$R155,3))</x:f>
      </x:c>
      <x:c r="P155" s="215"/>
      <x:c r="Q155" s="222" t="str">
        <x:f>IF($E155="","",IF(OR(RIGHT(UPPER(TRIM(SUBSTITUTE(CLEAN($E155),CHAR(160)," "))),2)="P1",RIGHT(UPPER(TRIM(SUBSTITUTE(CLEAN($E155),CHAR(160)," "))),2)="P2",RIGHT(UPPER(TRIM(SUBSTITUTE(CLEAN($E155),CHAR(160)," "))),2)="P3",RIGHT(UPPER(TRIM(SUBSTITUTE(CLEAN($E155),CHAR(160)," "))),2)="P4",ISNUMBER(SEARCH("INDUSTRIAL HYGIENIST 1 ENVIRONMENT",UPPER(TRIM(SUBSTITUTE(CLEAN($E155),CHAR(160)," ")))))),"PS","GS"))</x:f>
      </x:c>
      <x:c r="R155" s="223" t="str">
        <x:f>IF($Q155="","",IF($Q155="PS",'Data'!$O$5,'Data'!$O$4))</x:f>
      </x:c>
      <x:c r="S155" s="224" t="str">
        <x:f>IF($E155="","",IFERROR(VLOOKUP($E155,'Data'!$A$2:$B$114,2,FALSE),""))</x:f>
      </x:c>
      <x:c r="T155" s="217" t="str">
        <x:f>IF($K155="","",VLOOKUP($K155,'Data'!$I$2:$L$6,2,TRUE))</x:f>
      </x:c>
      <x:c r="U155" s="217"/>
      <x:c r="V155" s="221" t="str">
        <x:f>IF($L155="","",$J155*$L155)</x:f>
      </x:c>
      <x:c r="W155" s="221" t="str">
        <x:f>IF($V155="","",$J155+$V155)</x:f>
      </x:c>
      <x:c r="X155" s="217" t="str">
        <x:f>IF($Y155="Ready","Review and inform supplier","")</x:f>
      </x:c>
      <x:c r="Y155" s="217" t="str">
        <x:f>IF(AND($B155="",$E155="",$I155=""),"",IF($B155="","Missing Assignment Number",IF($E155="","Select Job Title",IF($I155="","Enter Pay Rate",IF($S155="","Job Title not found","Ready")))))</x:f>
      </x:c>
    </x:row>
    <x:row r="156" ht="22" customHeight="1">
      <x:c r="A156" s="205"/>
      <x:c r="B156" s="205"/>
      <x:c r="C156" s="206"/>
      <x:c r="D156" s="205"/>
      <x:c r="E156" s="207"/>
      <x:c r="F156" s="208"/>
      <x:c r="G156" s="209" t="str">
        <x:f>IF($S156="","",IFERROR(VLOOKUP($S156,'Data'!$D$2:$G$14,3,FALSE),""))</x:f>
      </x:c>
      <x:c r="H156" s="210" t="str">
        <x:f>IF($G156="","",$G156/'Data'!$O$2/'Data'!$O$3)</x:f>
      </x:c>
      <x:c r="I156" s="211"/>
      <x:c r="J156" s="209" t="str">
        <x:f>IF(OR($E156="",$I156=""),"",$I156*'Data'!$O$2*'Data'!$O$3)</x:f>
      </x:c>
      <x:c r="K156" s="212" t="str">
        <x:f>IF(OR($J156="",$G156=""),"",$J156/$G156)</x:f>
      </x:c>
      <x:c r="L156" s="213" t="str">
        <x:f>IF($K156="","",VLOOKUP($K156,'Data'!$I$2:$L$6,3,TRUE))</x:f>
      </x:c>
      <x:c r="M156" s="210" t="str">
        <x:f>IF($L156="","",$I156*$L156)</x:f>
      </x:c>
      <x:c r="N156" s="214" t="str">
        <x:f>IF($M156="","",ROUNDDOWN($I156+$M156,2))</x:f>
      </x:c>
      <x:c r="O156" s="210" t="str">
        <x:f>IF($N156="","",ROUNDDOWN(ROUNDDOWN($N156,2)*$R156,3))</x:f>
      </x:c>
      <x:c r="P156" s="215"/>
      <x:c r="Q156" s="222" t="str">
        <x:f>IF($E156="","",IF(OR(RIGHT(UPPER(TRIM(SUBSTITUTE(CLEAN($E156),CHAR(160)," "))),2)="P1",RIGHT(UPPER(TRIM(SUBSTITUTE(CLEAN($E156),CHAR(160)," "))),2)="P2",RIGHT(UPPER(TRIM(SUBSTITUTE(CLEAN($E156),CHAR(160)," "))),2)="P3",RIGHT(UPPER(TRIM(SUBSTITUTE(CLEAN($E156),CHAR(160)," "))),2)="P4",ISNUMBER(SEARCH("INDUSTRIAL HYGIENIST 1 ENVIRONMENT",UPPER(TRIM(SUBSTITUTE(CLEAN($E156),CHAR(160)," ")))))),"PS","GS"))</x:f>
      </x:c>
      <x:c r="R156" s="223" t="str">
        <x:f>IF($Q156="","",IF($Q156="PS",'Data'!$O$5,'Data'!$O$4))</x:f>
      </x:c>
      <x:c r="S156" s="224" t="str">
        <x:f>IF($E156="","",IFERROR(VLOOKUP($E156,'Data'!$A$2:$B$114,2,FALSE),""))</x:f>
      </x:c>
      <x:c r="T156" s="217" t="str">
        <x:f>IF($K156="","",VLOOKUP($K156,'Data'!$I$2:$L$6,2,TRUE))</x:f>
      </x:c>
      <x:c r="U156" s="217"/>
      <x:c r="V156" s="221" t="str">
        <x:f>IF($L156="","",$J156*$L156)</x:f>
      </x:c>
      <x:c r="W156" s="221" t="str">
        <x:f>IF($V156="","",$J156+$V156)</x:f>
      </x:c>
      <x:c r="X156" s="217" t="str">
        <x:f>IF($Y156="Ready","Review and inform supplier","")</x:f>
      </x:c>
      <x:c r="Y156" s="217" t="str">
        <x:f>IF(AND($B156="",$E156="",$I156=""),"",IF($B156="","Missing Assignment Number",IF($E156="","Select Job Title",IF($I156="","Enter Pay Rate",IF($S156="","Job Title not found","Ready")))))</x:f>
      </x:c>
    </x:row>
    <x:row r="157" ht="22" customHeight="1">
      <x:c r="A157" s="205"/>
      <x:c r="B157" s="205"/>
      <x:c r="C157" s="206"/>
      <x:c r="D157" s="205"/>
      <x:c r="E157" s="207"/>
      <x:c r="F157" s="208"/>
      <x:c r="G157" s="209" t="str">
        <x:f>IF($S157="","",IFERROR(VLOOKUP($S157,'Data'!$D$2:$G$14,3,FALSE),""))</x:f>
      </x:c>
      <x:c r="H157" s="210" t="str">
        <x:f>IF($G157="","",$G157/'Data'!$O$2/'Data'!$O$3)</x:f>
      </x:c>
      <x:c r="I157" s="211"/>
      <x:c r="J157" s="209" t="str">
        <x:f>IF(OR($E157="",$I157=""),"",$I157*'Data'!$O$2*'Data'!$O$3)</x:f>
      </x:c>
      <x:c r="K157" s="212" t="str">
        <x:f>IF(OR($J157="",$G157=""),"",$J157/$G157)</x:f>
      </x:c>
      <x:c r="L157" s="213" t="str">
        <x:f>IF($K157="","",VLOOKUP($K157,'Data'!$I$2:$L$6,3,TRUE))</x:f>
      </x:c>
      <x:c r="M157" s="210" t="str">
        <x:f>IF($L157="","",$I157*$L157)</x:f>
      </x:c>
      <x:c r="N157" s="214" t="str">
        <x:f>IF($M157="","",ROUNDDOWN($I157+$M157,2))</x:f>
      </x:c>
      <x:c r="O157" s="210" t="str">
        <x:f>IF($N157="","",ROUNDDOWN(ROUNDDOWN($N157,2)*$R157,3))</x:f>
      </x:c>
      <x:c r="P157" s="215"/>
      <x:c r="Q157" s="222" t="str">
        <x:f>IF($E157="","",IF(OR(RIGHT(UPPER(TRIM(SUBSTITUTE(CLEAN($E157),CHAR(160)," "))),2)="P1",RIGHT(UPPER(TRIM(SUBSTITUTE(CLEAN($E157),CHAR(160)," "))),2)="P2",RIGHT(UPPER(TRIM(SUBSTITUTE(CLEAN($E157),CHAR(160)," "))),2)="P3",RIGHT(UPPER(TRIM(SUBSTITUTE(CLEAN($E157),CHAR(160)," "))),2)="P4",ISNUMBER(SEARCH("INDUSTRIAL HYGIENIST 1 ENVIRONMENT",UPPER(TRIM(SUBSTITUTE(CLEAN($E157),CHAR(160)," ")))))),"PS","GS"))</x:f>
      </x:c>
      <x:c r="R157" s="223" t="str">
        <x:f>IF($Q157="","",IF($Q157="PS",'Data'!$O$5,'Data'!$O$4))</x:f>
      </x:c>
      <x:c r="S157" s="224" t="str">
        <x:f>IF($E157="","",IFERROR(VLOOKUP($E157,'Data'!$A$2:$B$114,2,FALSE),""))</x:f>
      </x:c>
      <x:c r="T157" s="217" t="str">
        <x:f>IF($K157="","",VLOOKUP($K157,'Data'!$I$2:$L$6,2,TRUE))</x:f>
      </x:c>
      <x:c r="U157" s="217"/>
      <x:c r="V157" s="221" t="str">
        <x:f>IF($L157="","",$J157*$L157)</x:f>
      </x:c>
      <x:c r="W157" s="221" t="str">
        <x:f>IF($V157="","",$J157+$V157)</x:f>
      </x:c>
      <x:c r="X157" s="217" t="str">
        <x:f>IF($Y157="Ready","Review and inform supplier","")</x:f>
      </x:c>
      <x:c r="Y157" s="217" t="str">
        <x:f>IF(AND($B157="",$E157="",$I157=""),"",IF($B157="","Missing Assignment Number",IF($E157="","Select Job Title",IF($I157="","Enter Pay Rate",IF($S157="","Job Title not found","Ready")))))</x:f>
      </x:c>
    </x:row>
    <x:row r="158" ht="22" customHeight="1">
      <x:c r="A158" s="205"/>
      <x:c r="B158" s="205"/>
      <x:c r="C158" s="206"/>
      <x:c r="D158" s="205"/>
      <x:c r="E158" s="207"/>
      <x:c r="F158" s="208"/>
      <x:c r="G158" s="209" t="str">
        <x:f>IF($S158="","",IFERROR(VLOOKUP($S158,'Data'!$D$2:$G$14,3,FALSE),""))</x:f>
      </x:c>
      <x:c r="H158" s="210" t="str">
        <x:f>IF($G158="","",$G158/'Data'!$O$2/'Data'!$O$3)</x:f>
      </x:c>
      <x:c r="I158" s="211"/>
      <x:c r="J158" s="209" t="str">
        <x:f>IF(OR($E158="",$I158=""),"",$I158*'Data'!$O$2*'Data'!$O$3)</x:f>
      </x:c>
      <x:c r="K158" s="212" t="str">
        <x:f>IF(OR($J158="",$G158=""),"",$J158/$G158)</x:f>
      </x:c>
      <x:c r="L158" s="213" t="str">
        <x:f>IF($K158="","",VLOOKUP($K158,'Data'!$I$2:$L$6,3,TRUE))</x:f>
      </x:c>
      <x:c r="M158" s="210" t="str">
        <x:f>IF($L158="","",$I158*$L158)</x:f>
      </x:c>
      <x:c r="N158" s="214" t="str">
        <x:f>IF($M158="","",ROUNDDOWN($I158+$M158,2))</x:f>
      </x:c>
      <x:c r="O158" s="210" t="str">
        <x:f>IF($N158="","",ROUNDDOWN(ROUNDDOWN($N158,2)*$R158,3))</x:f>
      </x:c>
      <x:c r="P158" s="215"/>
      <x:c r="Q158" s="222" t="str">
        <x:f>IF($E158="","",IF(OR(RIGHT(UPPER(TRIM(SUBSTITUTE(CLEAN($E158),CHAR(160)," "))),2)="P1",RIGHT(UPPER(TRIM(SUBSTITUTE(CLEAN($E158),CHAR(160)," "))),2)="P2",RIGHT(UPPER(TRIM(SUBSTITUTE(CLEAN($E158),CHAR(160)," "))),2)="P3",RIGHT(UPPER(TRIM(SUBSTITUTE(CLEAN($E158),CHAR(160)," "))),2)="P4",ISNUMBER(SEARCH("INDUSTRIAL HYGIENIST 1 ENVIRONMENT",UPPER(TRIM(SUBSTITUTE(CLEAN($E158),CHAR(160)," ")))))),"PS","GS"))</x:f>
      </x:c>
      <x:c r="R158" s="223" t="str">
        <x:f>IF($Q158="","",IF($Q158="PS",'Data'!$O$5,'Data'!$O$4))</x:f>
      </x:c>
      <x:c r="S158" s="224" t="str">
        <x:f>IF($E158="","",IFERROR(VLOOKUP($E158,'Data'!$A$2:$B$114,2,FALSE),""))</x:f>
      </x:c>
      <x:c r="T158" s="217" t="str">
        <x:f>IF($K158="","",VLOOKUP($K158,'Data'!$I$2:$L$6,2,TRUE))</x:f>
      </x:c>
      <x:c r="U158" s="217"/>
      <x:c r="V158" s="221" t="str">
        <x:f>IF($L158="","",$J158*$L158)</x:f>
      </x:c>
      <x:c r="W158" s="221" t="str">
        <x:f>IF($V158="","",$J158+$V158)</x:f>
      </x:c>
      <x:c r="X158" s="217" t="str">
        <x:f>IF($Y158="Ready","Review and inform supplier","")</x:f>
      </x:c>
      <x:c r="Y158" s="217" t="str">
        <x:f>IF(AND($B158="",$E158="",$I158=""),"",IF($B158="","Missing Assignment Number",IF($E158="","Select Job Title",IF($I158="","Enter Pay Rate",IF($S158="","Job Title not found","Ready")))))</x:f>
      </x:c>
    </x:row>
    <x:row r="159" ht="22" customHeight="1">
      <x:c r="A159" s="205"/>
      <x:c r="B159" s="205"/>
      <x:c r="C159" s="206"/>
      <x:c r="D159" s="205"/>
      <x:c r="E159" s="207"/>
      <x:c r="F159" s="208"/>
      <x:c r="G159" s="209" t="str">
        <x:f>IF($S159="","",IFERROR(VLOOKUP($S159,'Data'!$D$2:$G$14,3,FALSE),""))</x:f>
      </x:c>
      <x:c r="H159" s="210" t="str">
        <x:f>IF($G159="","",$G159/'Data'!$O$2/'Data'!$O$3)</x:f>
      </x:c>
      <x:c r="I159" s="211"/>
      <x:c r="J159" s="209" t="str">
        <x:f>IF(OR($E159="",$I159=""),"",$I159*'Data'!$O$2*'Data'!$O$3)</x:f>
      </x:c>
      <x:c r="K159" s="212" t="str">
        <x:f>IF(OR($J159="",$G159=""),"",$J159/$G159)</x:f>
      </x:c>
      <x:c r="L159" s="213" t="str">
        <x:f>IF($K159="","",VLOOKUP($K159,'Data'!$I$2:$L$6,3,TRUE))</x:f>
      </x:c>
      <x:c r="M159" s="210" t="str">
        <x:f>IF($L159="","",$I159*$L159)</x:f>
      </x:c>
      <x:c r="N159" s="214" t="str">
        <x:f>IF($M159="","",ROUNDDOWN($I159+$M159,2))</x:f>
      </x:c>
      <x:c r="O159" s="210" t="str">
        <x:f>IF($N159="","",ROUNDDOWN(ROUNDDOWN($N159,2)*$R159,3))</x:f>
      </x:c>
      <x:c r="P159" s="215"/>
      <x:c r="Q159" s="222" t="str">
        <x:f>IF($E159="","",IF(OR(RIGHT(UPPER(TRIM(SUBSTITUTE(CLEAN($E159),CHAR(160)," "))),2)="P1",RIGHT(UPPER(TRIM(SUBSTITUTE(CLEAN($E159),CHAR(160)," "))),2)="P2",RIGHT(UPPER(TRIM(SUBSTITUTE(CLEAN($E159),CHAR(160)," "))),2)="P3",RIGHT(UPPER(TRIM(SUBSTITUTE(CLEAN($E159),CHAR(160)," "))),2)="P4",ISNUMBER(SEARCH("INDUSTRIAL HYGIENIST 1 ENVIRONMENT",UPPER(TRIM(SUBSTITUTE(CLEAN($E159),CHAR(160)," ")))))),"PS","GS"))</x:f>
      </x:c>
      <x:c r="R159" s="223" t="str">
        <x:f>IF($Q159="","",IF($Q159="PS",'Data'!$O$5,'Data'!$O$4))</x:f>
      </x:c>
      <x:c r="S159" s="224" t="str">
        <x:f>IF($E159="","",IFERROR(VLOOKUP($E159,'Data'!$A$2:$B$114,2,FALSE),""))</x:f>
      </x:c>
      <x:c r="T159" s="217" t="str">
        <x:f>IF($K159="","",VLOOKUP($K159,'Data'!$I$2:$L$6,2,TRUE))</x:f>
      </x:c>
      <x:c r="U159" s="217"/>
      <x:c r="V159" s="221" t="str">
        <x:f>IF($L159="","",$J159*$L159)</x:f>
      </x:c>
      <x:c r="W159" s="221" t="str">
        <x:f>IF($V159="","",$J159+$V159)</x:f>
      </x:c>
      <x:c r="X159" s="217" t="str">
        <x:f>IF($Y159="Ready","Review and inform supplier","")</x:f>
      </x:c>
      <x:c r="Y159" s="217" t="str">
        <x:f>IF(AND($B159="",$E159="",$I159=""),"",IF($B159="","Missing Assignment Number",IF($E159="","Select Job Title",IF($I159="","Enter Pay Rate",IF($S159="","Job Title not found","Ready")))))</x:f>
      </x:c>
    </x:row>
    <x:row r="160" ht="22" customHeight="1">
      <x:c r="A160" s="205"/>
      <x:c r="B160" s="205"/>
      <x:c r="C160" s="206"/>
      <x:c r="D160" s="205"/>
      <x:c r="E160" s="207"/>
      <x:c r="F160" s="208"/>
      <x:c r="G160" s="209" t="str">
        <x:f>IF($S160="","",IFERROR(VLOOKUP($S160,'Data'!$D$2:$G$14,3,FALSE),""))</x:f>
      </x:c>
      <x:c r="H160" s="210" t="str">
        <x:f>IF($G160="","",$G160/'Data'!$O$2/'Data'!$O$3)</x:f>
      </x:c>
      <x:c r="I160" s="211"/>
      <x:c r="J160" s="209" t="str">
        <x:f>IF(OR($E160="",$I160=""),"",$I160*'Data'!$O$2*'Data'!$O$3)</x:f>
      </x:c>
      <x:c r="K160" s="212" t="str">
        <x:f>IF(OR($J160="",$G160=""),"",$J160/$G160)</x:f>
      </x:c>
      <x:c r="L160" s="213" t="str">
        <x:f>IF($K160="","",VLOOKUP($K160,'Data'!$I$2:$L$6,3,TRUE))</x:f>
      </x:c>
      <x:c r="M160" s="210" t="str">
        <x:f>IF($L160="","",$I160*$L160)</x:f>
      </x:c>
      <x:c r="N160" s="214" t="str">
        <x:f>IF($M160="","",ROUNDDOWN($I160+$M160,2))</x:f>
      </x:c>
      <x:c r="O160" s="210" t="str">
        <x:f>IF($N160="","",ROUNDDOWN(ROUNDDOWN($N160,2)*$R160,3))</x:f>
      </x:c>
      <x:c r="P160" s="215"/>
      <x:c r="Q160" s="222" t="str">
        <x:f>IF($E160="","",IF(OR(RIGHT(UPPER(TRIM(SUBSTITUTE(CLEAN($E160),CHAR(160)," "))),2)="P1",RIGHT(UPPER(TRIM(SUBSTITUTE(CLEAN($E160),CHAR(160)," "))),2)="P2",RIGHT(UPPER(TRIM(SUBSTITUTE(CLEAN($E160),CHAR(160)," "))),2)="P3",RIGHT(UPPER(TRIM(SUBSTITUTE(CLEAN($E160),CHAR(160)," "))),2)="P4",ISNUMBER(SEARCH("INDUSTRIAL HYGIENIST 1 ENVIRONMENT",UPPER(TRIM(SUBSTITUTE(CLEAN($E160),CHAR(160)," ")))))),"PS","GS"))</x:f>
      </x:c>
      <x:c r="R160" s="223" t="str">
        <x:f>IF($Q160="","",IF($Q160="PS",'Data'!$O$5,'Data'!$O$4))</x:f>
      </x:c>
      <x:c r="S160" s="224" t="str">
        <x:f>IF($E160="","",IFERROR(VLOOKUP($E160,'Data'!$A$2:$B$114,2,FALSE),""))</x:f>
      </x:c>
      <x:c r="T160" s="217" t="str">
        <x:f>IF($K160="","",VLOOKUP($K160,'Data'!$I$2:$L$6,2,TRUE))</x:f>
      </x:c>
      <x:c r="U160" s="217"/>
      <x:c r="V160" s="221" t="str">
        <x:f>IF($L160="","",$J160*$L160)</x:f>
      </x:c>
      <x:c r="W160" s="221" t="str">
        <x:f>IF($V160="","",$J160+$V160)</x:f>
      </x:c>
      <x:c r="X160" s="217" t="str">
        <x:f>IF($Y160="Ready","Review and inform supplier","")</x:f>
      </x:c>
      <x:c r="Y160" s="217" t="str">
        <x:f>IF(AND($B160="",$E160="",$I160=""),"",IF($B160="","Missing Assignment Number",IF($E160="","Select Job Title",IF($I160="","Enter Pay Rate",IF($S160="","Job Title not found","Ready")))))</x:f>
      </x:c>
    </x:row>
    <x:row r="161" ht="22" customHeight="1">
      <x:c r="A161" s="205"/>
      <x:c r="B161" s="205"/>
      <x:c r="C161" s="206"/>
      <x:c r="D161" s="205"/>
      <x:c r="E161" s="207"/>
      <x:c r="F161" s="208"/>
      <x:c r="G161" s="209" t="str">
        <x:f>IF($S161="","",IFERROR(VLOOKUP($S161,'Data'!$D$2:$G$14,3,FALSE),""))</x:f>
      </x:c>
      <x:c r="H161" s="210" t="str">
        <x:f>IF($G161="","",$G161/'Data'!$O$2/'Data'!$O$3)</x:f>
      </x:c>
      <x:c r="I161" s="211"/>
      <x:c r="J161" s="209" t="str">
        <x:f>IF(OR($E161="",$I161=""),"",$I161*'Data'!$O$2*'Data'!$O$3)</x:f>
      </x:c>
      <x:c r="K161" s="212" t="str">
        <x:f>IF(OR($J161="",$G161=""),"",$J161/$G161)</x:f>
      </x:c>
      <x:c r="L161" s="213" t="str">
        <x:f>IF($K161="","",VLOOKUP($K161,'Data'!$I$2:$L$6,3,TRUE))</x:f>
      </x:c>
      <x:c r="M161" s="210" t="str">
        <x:f>IF($L161="","",$I161*$L161)</x:f>
      </x:c>
      <x:c r="N161" s="214" t="str">
        <x:f>IF($M161="","",ROUNDDOWN($I161+$M161,2))</x:f>
      </x:c>
      <x:c r="O161" s="210" t="str">
        <x:f>IF($N161="","",ROUNDDOWN(ROUNDDOWN($N161,2)*$R161,3))</x:f>
      </x:c>
      <x:c r="P161" s="215"/>
      <x:c r="Q161" s="222" t="str">
        <x:f>IF($E161="","",IF(OR(RIGHT(UPPER(TRIM(SUBSTITUTE(CLEAN($E161),CHAR(160)," "))),2)="P1",RIGHT(UPPER(TRIM(SUBSTITUTE(CLEAN($E161),CHAR(160)," "))),2)="P2",RIGHT(UPPER(TRIM(SUBSTITUTE(CLEAN($E161),CHAR(160)," "))),2)="P3",RIGHT(UPPER(TRIM(SUBSTITUTE(CLEAN($E161),CHAR(160)," "))),2)="P4",ISNUMBER(SEARCH("INDUSTRIAL HYGIENIST 1 ENVIRONMENT",UPPER(TRIM(SUBSTITUTE(CLEAN($E161),CHAR(160)," ")))))),"PS","GS"))</x:f>
      </x:c>
      <x:c r="R161" s="223" t="str">
        <x:f>IF($Q161="","",IF($Q161="PS",'Data'!$O$5,'Data'!$O$4))</x:f>
      </x:c>
      <x:c r="S161" s="224" t="str">
        <x:f>IF($E161="","",IFERROR(VLOOKUP($E161,'Data'!$A$2:$B$114,2,FALSE),""))</x:f>
      </x:c>
      <x:c r="T161" s="217" t="str">
        <x:f>IF($K161="","",VLOOKUP($K161,'Data'!$I$2:$L$6,2,TRUE))</x:f>
      </x:c>
      <x:c r="U161" s="217"/>
      <x:c r="V161" s="221" t="str">
        <x:f>IF($L161="","",$J161*$L161)</x:f>
      </x:c>
      <x:c r="W161" s="221" t="str">
        <x:f>IF($V161="","",$J161+$V161)</x:f>
      </x:c>
      <x:c r="X161" s="217" t="str">
        <x:f>IF($Y161="Ready","Review and inform supplier","")</x:f>
      </x:c>
      <x:c r="Y161" s="217" t="str">
        <x:f>IF(AND($B161="",$E161="",$I161=""),"",IF($B161="","Missing Assignment Number",IF($E161="","Select Job Title",IF($I161="","Enter Pay Rate",IF($S161="","Job Title not found","Ready")))))</x:f>
      </x:c>
    </x:row>
    <x:row r="162" ht="22" customHeight="1">
      <x:c r="A162" s="205"/>
      <x:c r="B162" s="205"/>
      <x:c r="C162" s="206"/>
      <x:c r="D162" s="205"/>
      <x:c r="E162" s="207"/>
      <x:c r="F162" s="208"/>
      <x:c r="G162" s="209" t="str">
        <x:f>IF($S162="","",IFERROR(VLOOKUP($S162,'Data'!$D$2:$G$14,3,FALSE),""))</x:f>
      </x:c>
      <x:c r="H162" s="210" t="str">
        <x:f>IF($G162="","",$G162/'Data'!$O$2/'Data'!$O$3)</x:f>
      </x:c>
      <x:c r="I162" s="211"/>
      <x:c r="J162" s="209" t="str">
        <x:f>IF(OR($E162="",$I162=""),"",$I162*'Data'!$O$2*'Data'!$O$3)</x:f>
      </x:c>
      <x:c r="K162" s="212" t="str">
        <x:f>IF(OR($J162="",$G162=""),"",$J162/$G162)</x:f>
      </x:c>
      <x:c r="L162" s="213" t="str">
        <x:f>IF($K162="","",VLOOKUP($K162,'Data'!$I$2:$L$6,3,TRUE))</x:f>
      </x:c>
      <x:c r="M162" s="210" t="str">
        <x:f>IF($L162="","",$I162*$L162)</x:f>
      </x:c>
      <x:c r="N162" s="214" t="str">
        <x:f>IF($M162="","",ROUNDDOWN($I162+$M162,2))</x:f>
      </x:c>
      <x:c r="O162" s="210" t="str">
        <x:f>IF($N162="","",ROUNDDOWN(ROUNDDOWN($N162,2)*$R162,3))</x:f>
      </x:c>
      <x:c r="P162" s="215"/>
      <x:c r="Q162" s="222" t="str">
        <x:f>IF($E162="","",IF(OR(RIGHT(UPPER(TRIM(SUBSTITUTE(CLEAN($E162),CHAR(160)," "))),2)="P1",RIGHT(UPPER(TRIM(SUBSTITUTE(CLEAN($E162),CHAR(160)," "))),2)="P2",RIGHT(UPPER(TRIM(SUBSTITUTE(CLEAN($E162),CHAR(160)," "))),2)="P3",RIGHT(UPPER(TRIM(SUBSTITUTE(CLEAN($E162),CHAR(160)," "))),2)="P4",ISNUMBER(SEARCH("INDUSTRIAL HYGIENIST 1 ENVIRONMENT",UPPER(TRIM(SUBSTITUTE(CLEAN($E162),CHAR(160)," ")))))),"PS","GS"))</x:f>
      </x:c>
      <x:c r="R162" s="223" t="str">
        <x:f>IF($Q162="","",IF($Q162="PS",'Data'!$O$5,'Data'!$O$4))</x:f>
      </x:c>
      <x:c r="S162" s="224" t="str">
        <x:f>IF($E162="","",IFERROR(VLOOKUP($E162,'Data'!$A$2:$B$114,2,FALSE),""))</x:f>
      </x:c>
      <x:c r="T162" s="217" t="str">
        <x:f>IF($K162="","",VLOOKUP($K162,'Data'!$I$2:$L$6,2,TRUE))</x:f>
      </x:c>
      <x:c r="U162" s="217"/>
      <x:c r="V162" s="221" t="str">
        <x:f>IF($L162="","",$J162*$L162)</x:f>
      </x:c>
      <x:c r="W162" s="221" t="str">
        <x:f>IF($V162="","",$J162+$V162)</x:f>
      </x:c>
      <x:c r="X162" s="217" t="str">
        <x:f>IF($Y162="Ready","Review and inform supplier","")</x:f>
      </x:c>
      <x:c r="Y162" s="217" t="str">
        <x:f>IF(AND($B162="",$E162="",$I162=""),"",IF($B162="","Missing Assignment Number",IF($E162="","Select Job Title",IF($I162="","Enter Pay Rate",IF($S162="","Job Title not found","Ready")))))</x:f>
      </x:c>
    </x:row>
    <x:row r="163" ht="22" customHeight="1">
      <x:c r="A163" s="205"/>
      <x:c r="B163" s="205"/>
      <x:c r="C163" s="206"/>
      <x:c r="D163" s="205"/>
      <x:c r="E163" s="207"/>
      <x:c r="F163" s="208"/>
      <x:c r="G163" s="209" t="str">
        <x:f>IF($S163="","",IFERROR(VLOOKUP($S163,'Data'!$D$2:$G$14,3,FALSE),""))</x:f>
      </x:c>
      <x:c r="H163" s="210" t="str">
        <x:f>IF($G163="","",$G163/'Data'!$O$2/'Data'!$O$3)</x:f>
      </x:c>
      <x:c r="I163" s="211"/>
      <x:c r="J163" s="209" t="str">
        <x:f>IF(OR($E163="",$I163=""),"",$I163*'Data'!$O$2*'Data'!$O$3)</x:f>
      </x:c>
      <x:c r="K163" s="212" t="str">
        <x:f>IF(OR($J163="",$G163=""),"",$J163/$G163)</x:f>
      </x:c>
      <x:c r="L163" s="213" t="str">
        <x:f>IF($K163="","",VLOOKUP($K163,'Data'!$I$2:$L$6,3,TRUE))</x:f>
      </x:c>
      <x:c r="M163" s="210" t="str">
        <x:f>IF($L163="","",$I163*$L163)</x:f>
      </x:c>
      <x:c r="N163" s="214" t="str">
        <x:f>IF($M163="","",ROUNDDOWN($I163+$M163,2))</x:f>
      </x:c>
      <x:c r="O163" s="210" t="str">
        <x:f>IF($N163="","",ROUNDDOWN(ROUNDDOWN($N163,2)*$R163,3))</x:f>
      </x:c>
      <x:c r="P163" s="215"/>
      <x:c r="Q163" s="222" t="str">
        <x:f>IF($E163="","",IF(OR(RIGHT(UPPER(TRIM(SUBSTITUTE(CLEAN($E163),CHAR(160)," "))),2)="P1",RIGHT(UPPER(TRIM(SUBSTITUTE(CLEAN($E163),CHAR(160)," "))),2)="P2",RIGHT(UPPER(TRIM(SUBSTITUTE(CLEAN($E163),CHAR(160)," "))),2)="P3",RIGHT(UPPER(TRIM(SUBSTITUTE(CLEAN($E163),CHAR(160)," "))),2)="P4",ISNUMBER(SEARCH("INDUSTRIAL HYGIENIST 1 ENVIRONMENT",UPPER(TRIM(SUBSTITUTE(CLEAN($E163),CHAR(160)," ")))))),"PS","GS"))</x:f>
      </x:c>
      <x:c r="R163" s="223" t="str">
        <x:f>IF($Q163="","",IF($Q163="PS",'Data'!$O$5,'Data'!$O$4))</x:f>
      </x:c>
      <x:c r="S163" s="224" t="str">
        <x:f>IF($E163="","",IFERROR(VLOOKUP($E163,'Data'!$A$2:$B$114,2,FALSE),""))</x:f>
      </x:c>
      <x:c r="T163" s="217" t="str">
        <x:f>IF($K163="","",VLOOKUP($K163,'Data'!$I$2:$L$6,2,TRUE))</x:f>
      </x:c>
      <x:c r="U163" s="217"/>
      <x:c r="V163" s="221" t="str">
        <x:f>IF($L163="","",$J163*$L163)</x:f>
      </x:c>
      <x:c r="W163" s="221" t="str">
        <x:f>IF($V163="","",$J163+$V163)</x:f>
      </x:c>
      <x:c r="X163" s="217" t="str">
        <x:f>IF($Y163="Ready","Review and inform supplier","")</x:f>
      </x:c>
      <x:c r="Y163" s="217" t="str">
        <x:f>IF(AND($B163="",$E163="",$I163=""),"",IF($B163="","Missing Assignment Number",IF($E163="","Select Job Title",IF($I163="","Enter Pay Rate",IF($S163="","Job Title not found","Ready")))))</x:f>
      </x:c>
    </x:row>
    <x:row r="164" ht="22" customHeight="1">
      <x:c r="A164" s="205"/>
      <x:c r="B164" s="205"/>
      <x:c r="C164" s="206"/>
      <x:c r="D164" s="205"/>
      <x:c r="E164" s="207"/>
      <x:c r="F164" s="208"/>
      <x:c r="G164" s="209" t="str">
        <x:f>IF($S164="","",IFERROR(VLOOKUP($S164,'Data'!$D$2:$G$14,3,FALSE),""))</x:f>
      </x:c>
      <x:c r="H164" s="210" t="str">
        <x:f>IF($G164="","",$G164/'Data'!$O$2/'Data'!$O$3)</x:f>
      </x:c>
      <x:c r="I164" s="211"/>
      <x:c r="J164" s="209" t="str">
        <x:f>IF(OR($E164="",$I164=""),"",$I164*'Data'!$O$2*'Data'!$O$3)</x:f>
      </x:c>
      <x:c r="K164" s="212" t="str">
        <x:f>IF(OR($J164="",$G164=""),"",$J164/$G164)</x:f>
      </x:c>
      <x:c r="L164" s="213" t="str">
        <x:f>IF($K164="","",VLOOKUP($K164,'Data'!$I$2:$L$6,3,TRUE))</x:f>
      </x:c>
      <x:c r="M164" s="210" t="str">
        <x:f>IF($L164="","",$I164*$L164)</x:f>
      </x:c>
      <x:c r="N164" s="214" t="str">
        <x:f>IF($M164="","",ROUNDDOWN($I164+$M164,2))</x:f>
      </x:c>
      <x:c r="O164" s="210" t="str">
        <x:f>IF($N164="","",ROUNDDOWN(ROUNDDOWN($N164,2)*$R164,3))</x:f>
      </x:c>
      <x:c r="P164" s="215"/>
      <x:c r="Q164" s="222" t="str">
        <x:f>IF($E164="","",IF(OR(RIGHT(UPPER(TRIM(SUBSTITUTE(CLEAN($E164),CHAR(160)," "))),2)="P1",RIGHT(UPPER(TRIM(SUBSTITUTE(CLEAN($E164),CHAR(160)," "))),2)="P2",RIGHT(UPPER(TRIM(SUBSTITUTE(CLEAN($E164),CHAR(160)," "))),2)="P3",RIGHT(UPPER(TRIM(SUBSTITUTE(CLEAN($E164),CHAR(160)," "))),2)="P4",ISNUMBER(SEARCH("INDUSTRIAL HYGIENIST 1 ENVIRONMENT",UPPER(TRIM(SUBSTITUTE(CLEAN($E164),CHAR(160)," ")))))),"PS","GS"))</x:f>
      </x:c>
      <x:c r="R164" s="223" t="str">
        <x:f>IF($Q164="","",IF($Q164="PS",'Data'!$O$5,'Data'!$O$4))</x:f>
      </x:c>
      <x:c r="S164" s="224" t="str">
        <x:f>IF($E164="","",IFERROR(VLOOKUP($E164,'Data'!$A$2:$B$114,2,FALSE),""))</x:f>
      </x:c>
      <x:c r="T164" s="217" t="str">
        <x:f>IF($K164="","",VLOOKUP($K164,'Data'!$I$2:$L$6,2,TRUE))</x:f>
      </x:c>
      <x:c r="U164" s="217"/>
      <x:c r="V164" s="221" t="str">
        <x:f>IF($L164="","",$J164*$L164)</x:f>
      </x:c>
      <x:c r="W164" s="221" t="str">
        <x:f>IF($V164="","",$J164+$V164)</x:f>
      </x:c>
      <x:c r="X164" s="217" t="str">
        <x:f>IF($Y164="Ready","Review and inform supplier","")</x:f>
      </x:c>
      <x:c r="Y164" s="217" t="str">
        <x:f>IF(AND($B164="",$E164="",$I164=""),"",IF($B164="","Missing Assignment Number",IF($E164="","Select Job Title",IF($I164="","Enter Pay Rate",IF($S164="","Job Title not found","Ready")))))</x:f>
      </x:c>
    </x:row>
    <x:row r="165" ht="22" customHeight="1">
      <x:c r="A165" s="205"/>
      <x:c r="B165" s="205"/>
      <x:c r="C165" s="206"/>
      <x:c r="D165" s="205"/>
      <x:c r="E165" s="207"/>
      <x:c r="F165" s="208"/>
      <x:c r="G165" s="209" t="str">
        <x:f>IF($S165="","",IFERROR(VLOOKUP($S165,'Data'!$D$2:$G$14,3,FALSE),""))</x:f>
      </x:c>
      <x:c r="H165" s="210" t="str">
        <x:f>IF($G165="","",$G165/'Data'!$O$2/'Data'!$O$3)</x:f>
      </x:c>
      <x:c r="I165" s="211"/>
      <x:c r="J165" s="209" t="str">
        <x:f>IF(OR($E165="",$I165=""),"",$I165*'Data'!$O$2*'Data'!$O$3)</x:f>
      </x:c>
      <x:c r="K165" s="212" t="str">
        <x:f>IF(OR($J165="",$G165=""),"",$J165/$G165)</x:f>
      </x:c>
      <x:c r="L165" s="213" t="str">
        <x:f>IF($K165="","",VLOOKUP($K165,'Data'!$I$2:$L$6,3,TRUE))</x:f>
      </x:c>
      <x:c r="M165" s="210" t="str">
        <x:f>IF($L165="","",$I165*$L165)</x:f>
      </x:c>
      <x:c r="N165" s="214" t="str">
        <x:f>IF($M165="","",ROUNDDOWN($I165+$M165,2))</x:f>
      </x:c>
      <x:c r="O165" s="210" t="str">
        <x:f>IF($N165="","",ROUNDDOWN(ROUNDDOWN($N165,2)*$R165,3))</x:f>
      </x:c>
      <x:c r="P165" s="215"/>
      <x:c r="Q165" s="222" t="str">
        <x:f>IF($E165="","",IF(OR(RIGHT(UPPER(TRIM(SUBSTITUTE(CLEAN($E165),CHAR(160)," "))),2)="P1",RIGHT(UPPER(TRIM(SUBSTITUTE(CLEAN($E165),CHAR(160)," "))),2)="P2",RIGHT(UPPER(TRIM(SUBSTITUTE(CLEAN($E165),CHAR(160)," "))),2)="P3",RIGHT(UPPER(TRIM(SUBSTITUTE(CLEAN($E165),CHAR(160)," "))),2)="P4",ISNUMBER(SEARCH("INDUSTRIAL HYGIENIST 1 ENVIRONMENT",UPPER(TRIM(SUBSTITUTE(CLEAN($E165),CHAR(160)," ")))))),"PS","GS"))</x:f>
      </x:c>
      <x:c r="R165" s="223" t="str">
        <x:f>IF($Q165="","",IF($Q165="PS",'Data'!$O$5,'Data'!$O$4))</x:f>
      </x:c>
      <x:c r="S165" s="224" t="str">
        <x:f>IF($E165="","",IFERROR(VLOOKUP($E165,'Data'!$A$2:$B$114,2,FALSE),""))</x:f>
      </x:c>
      <x:c r="T165" s="217" t="str">
        <x:f>IF($K165="","",VLOOKUP($K165,'Data'!$I$2:$L$6,2,TRUE))</x:f>
      </x:c>
      <x:c r="U165" s="217"/>
      <x:c r="V165" s="221" t="str">
        <x:f>IF($L165="","",$J165*$L165)</x:f>
      </x:c>
      <x:c r="W165" s="221" t="str">
        <x:f>IF($V165="","",$J165+$V165)</x:f>
      </x:c>
      <x:c r="X165" s="217" t="str">
        <x:f>IF($Y165="Ready","Review and inform supplier","")</x:f>
      </x:c>
      <x:c r="Y165" s="217" t="str">
        <x:f>IF(AND($B165="",$E165="",$I165=""),"",IF($B165="","Missing Assignment Number",IF($E165="","Select Job Title",IF($I165="","Enter Pay Rate",IF($S165="","Job Title not found","Ready")))))</x:f>
      </x:c>
    </x:row>
    <x:row r="166" ht="22" customHeight="1">
      <x:c r="A166" s="205"/>
      <x:c r="B166" s="205"/>
      <x:c r="C166" s="206"/>
      <x:c r="D166" s="205"/>
      <x:c r="E166" s="207"/>
      <x:c r="F166" s="208"/>
      <x:c r="G166" s="209" t="str">
        <x:f>IF($S166="","",IFERROR(VLOOKUP($S166,'Data'!$D$2:$G$14,3,FALSE),""))</x:f>
      </x:c>
      <x:c r="H166" s="210" t="str">
        <x:f>IF($G166="","",$G166/'Data'!$O$2/'Data'!$O$3)</x:f>
      </x:c>
      <x:c r="I166" s="211"/>
      <x:c r="J166" s="209" t="str">
        <x:f>IF(OR($E166="",$I166=""),"",$I166*'Data'!$O$2*'Data'!$O$3)</x:f>
      </x:c>
      <x:c r="K166" s="212" t="str">
        <x:f>IF(OR($J166="",$G166=""),"",$J166/$G166)</x:f>
      </x:c>
      <x:c r="L166" s="213" t="str">
        <x:f>IF($K166="","",VLOOKUP($K166,'Data'!$I$2:$L$6,3,TRUE))</x:f>
      </x:c>
      <x:c r="M166" s="210" t="str">
        <x:f>IF($L166="","",$I166*$L166)</x:f>
      </x:c>
      <x:c r="N166" s="214" t="str">
        <x:f>IF($M166="","",ROUNDDOWN($I166+$M166,2))</x:f>
      </x:c>
      <x:c r="O166" s="210" t="str">
        <x:f>IF($N166="","",ROUNDDOWN(ROUNDDOWN($N166,2)*$R166,3))</x:f>
      </x:c>
      <x:c r="P166" s="215"/>
      <x:c r="Q166" s="222" t="str">
        <x:f>IF($E166="","",IF(OR(RIGHT(UPPER(TRIM(SUBSTITUTE(CLEAN($E166),CHAR(160)," "))),2)="P1",RIGHT(UPPER(TRIM(SUBSTITUTE(CLEAN($E166),CHAR(160)," "))),2)="P2",RIGHT(UPPER(TRIM(SUBSTITUTE(CLEAN($E166),CHAR(160)," "))),2)="P3",RIGHT(UPPER(TRIM(SUBSTITUTE(CLEAN($E166),CHAR(160)," "))),2)="P4",ISNUMBER(SEARCH("INDUSTRIAL HYGIENIST 1 ENVIRONMENT",UPPER(TRIM(SUBSTITUTE(CLEAN($E166),CHAR(160)," ")))))),"PS","GS"))</x:f>
      </x:c>
      <x:c r="R166" s="223" t="str">
        <x:f>IF($Q166="","",IF($Q166="PS",'Data'!$O$5,'Data'!$O$4))</x:f>
      </x:c>
      <x:c r="S166" s="224" t="str">
        <x:f>IF($E166="","",IFERROR(VLOOKUP($E166,'Data'!$A$2:$B$114,2,FALSE),""))</x:f>
      </x:c>
      <x:c r="T166" s="217" t="str">
        <x:f>IF($K166="","",VLOOKUP($K166,'Data'!$I$2:$L$6,2,TRUE))</x:f>
      </x:c>
      <x:c r="U166" s="217"/>
      <x:c r="V166" s="221" t="str">
        <x:f>IF($L166="","",$J166*$L166)</x:f>
      </x:c>
      <x:c r="W166" s="221" t="str">
        <x:f>IF($V166="","",$J166+$V166)</x:f>
      </x:c>
      <x:c r="X166" s="217" t="str">
        <x:f>IF($Y166="Ready","Review and inform supplier","")</x:f>
      </x:c>
      <x:c r="Y166" s="217" t="str">
        <x:f>IF(AND($B166="",$E166="",$I166=""),"",IF($B166="","Missing Assignment Number",IF($E166="","Select Job Title",IF($I166="","Enter Pay Rate",IF($S166="","Job Title not found","Ready")))))</x:f>
      </x:c>
    </x:row>
    <x:row r="167" ht="22" customHeight="1">
      <x:c r="A167" s="205"/>
      <x:c r="B167" s="205"/>
      <x:c r="C167" s="206"/>
      <x:c r="D167" s="205"/>
      <x:c r="E167" s="207"/>
      <x:c r="F167" s="208"/>
      <x:c r="G167" s="209" t="str">
        <x:f>IF($S167="","",IFERROR(VLOOKUP($S167,'Data'!$D$2:$G$14,3,FALSE),""))</x:f>
      </x:c>
      <x:c r="H167" s="210" t="str">
        <x:f>IF($G167="","",$G167/'Data'!$O$2/'Data'!$O$3)</x:f>
      </x:c>
      <x:c r="I167" s="211"/>
      <x:c r="J167" s="209" t="str">
        <x:f>IF(OR($E167="",$I167=""),"",$I167*'Data'!$O$2*'Data'!$O$3)</x:f>
      </x:c>
      <x:c r="K167" s="212" t="str">
        <x:f>IF(OR($J167="",$G167=""),"",$J167/$G167)</x:f>
      </x:c>
      <x:c r="L167" s="213" t="str">
        <x:f>IF($K167="","",VLOOKUP($K167,'Data'!$I$2:$L$6,3,TRUE))</x:f>
      </x:c>
      <x:c r="M167" s="210" t="str">
        <x:f>IF($L167="","",$I167*$L167)</x:f>
      </x:c>
      <x:c r="N167" s="214" t="str">
        <x:f>IF($M167="","",ROUNDDOWN($I167+$M167,2))</x:f>
      </x:c>
      <x:c r="O167" s="210" t="str">
        <x:f>IF($N167="","",ROUNDDOWN(ROUNDDOWN($N167,2)*$R167,3))</x:f>
      </x:c>
      <x:c r="P167" s="215"/>
      <x:c r="Q167" s="222" t="str">
        <x:f>IF($E167="","",IF(OR(RIGHT(UPPER(TRIM(SUBSTITUTE(CLEAN($E167),CHAR(160)," "))),2)="P1",RIGHT(UPPER(TRIM(SUBSTITUTE(CLEAN($E167),CHAR(160)," "))),2)="P2",RIGHT(UPPER(TRIM(SUBSTITUTE(CLEAN($E167),CHAR(160)," "))),2)="P3",RIGHT(UPPER(TRIM(SUBSTITUTE(CLEAN($E167),CHAR(160)," "))),2)="P4",ISNUMBER(SEARCH("INDUSTRIAL HYGIENIST 1 ENVIRONMENT",UPPER(TRIM(SUBSTITUTE(CLEAN($E167),CHAR(160)," ")))))),"PS","GS"))</x:f>
      </x:c>
      <x:c r="R167" s="223" t="str">
        <x:f>IF($Q167="","",IF($Q167="PS",'Data'!$O$5,'Data'!$O$4))</x:f>
      </x:c>
      <x:c r="S167" s="224" t="str">
        <x:f>IF($E167="","",IFERROR(VLOOKUP($E167,'Data'!$A$2:$B$114,2,FALSE),""))</x:f>
      </x:c>
      <x:c r="T167" s="217" t="str">
        <x:f>IF($K167="","",VLOOKUP($K167,'Data'!$I$2:$L$6,2,TRUE))</x:f>
      </x:c>
      <x:c r="U167" s="217"/>
      <x:c r="V167" s="221" t="str">
        <x:f>IF($L167="","",$J167*$L167)</x:f>
      </x:c>
      <x:c r="W167" s="221" t="str">
        <x:f>IF($V167="","",$J167+$V167)</x:f>
      </x:c>
      <x:c r="X167" s="217" t="str">
        <x:f>IF($Y167="Ready","Review and inform supplier","")</x:f>
      </x:c>
      <x:c r="Y167" s="217" t="str">
        <x:f>IF(AND($B167="",$E167="",$I167=""),"",IF($B167="","Missing Assignment Number",IF($E167="","Select Job Title",IF($I167="","Enter Pay Rate",IF($S167="","Job Title not found","Ready")))))</x:f>
      </x:c>
    </x:row>
    <x:row r="168" ht="22" customHeight="1">
      <x:c r="A168" s="205"/>
      <x:c r="B168" s="205"/>
      <x:c r="C168" s="206"/>
      <x:c r="D168" s="205"/>
      <x:c r="E168" s="207"/>
      <x:c r="F168" s="208"/>
      <x:c r="G168" s="209" t="str">
        <x:f>IF($S168="","",IFERROR(VLOOKUP($S168,'Data'!$D$2:$G$14,3,FALSE),""))</x:f>
      </x:c>
      <x:c r="H168" s="210" t="str">
        <x:f>IF($G168="","",$G168/'Data'!$O$2/'Data'!$O$3)</x:f>
      </x:c>
      <x:c r="I168" s="211"/>
      <x:c r="J168" s="209" t="str">
        <x:f>IF(OR($E168="",$I168=""),"",$I168*'Data'!$O$2*'Data'!$O$3)</x:f>
      </x:c>
      <x:c r="K168" s="212" t="str">
        <x:f>IF(OR($J168="",$G168=""),"",$J168/$G168)</x:f>
      </x:c>
      <x:c r="L168" s="213" t="str">
        <x:f>IF($K168="","",VLOOKUP($K168,'Data'!$I$2:$L$6,3,TRUE))</x:f>
      </x:c>
      <x:c r="M168" s="210" t="str">
        <x:f>IF($L168="","",$I168*$L168)</x:f>
      </x:c>
      <x:c r="N168" s="214" t="str">
        <x:f>IF($M168="","",ROUNDDOWN($I168+$M168,2))</x:f>
      </x:c>
      <x:c r="O168" s="210" t="str">
        <x:f>IF($N168="","",ROUNDDOWN(ROUNDDOWN($N168,2)*$R168,3))</x:f>
      </x:c>
      <x:c r="P168" s="215"/>
      <x:c r="Q168" s="222" t="str">
        <x:f>IF($E168="","",IF(OR(RIGHT(UPPER(TRIM(SUBSTITUTE(CLEAN($E168),CHAR(160)," "))),2)="P1",RIGHT(UPPER(TRIM(SUBSTITUTE(CLEAN($E168),CHAR(160)," "))),2)="P2",RIGHT(UPPER(TRIM(SUBSTITUTE(CLEAN($E168),CHAR(160)," "))),2)="P3",RIGHT(UPPER(TRIM(SUBSTITUTE(CLEAN($E168),CHAR(160)," "))),2)="P4",ISNUMBER(SEARCH("INDUSTRIAL HYGIENIST 1 ENVIRONMENT",UPPER(TRIM(SUBSTITUTE(CLEAN($E168),CHAR(160)," ")))))),"PS","GS"))</x:f>
      </x:c>
      <x:c r="R168" s="223" t="str">
        <x:f>IF($Q168="","",IF($Q168="PS",'Data'!$O$5,'Data'!$O$4))</x:f>
      </x:c>
      <x:c r="S168" s="224" t="str">
        <x:f>IF($E168="","",IFERROR(VLOOKUP($E168,'Data'!$A$2:$B$114,2,FALSE),""))</x:f>
      </x:c>
      <x:c r="T168" s="217" t="str">
        <x:f>IF($K168="","",VLOOKUP($K168,'Data'!$I$2:$L$6,2,TRUE))</x:f>
      </x:c>
      <x:c r="U168" s="217"/>
      <x:c r="V168" s="221" t="str">
        <x:f>IF($L168="","",$J168*$L168)</x:f>
      </x:c>
      <x:c r="W168" s="221" t="str">
        <x:f>IF($V168="","",$J168+$V168)</x:f>
      </x:c>
      <x:c r="X168" s="217" t="str">
        <x:f>IF($Y168="Ready","Review and inform supplier","")</x:f>
      </x:c>
      <x:c r="Y168" s="217" t="str">
        <x:f>IF(AND($B168="",$E168="",$I168=""),"",IF($B168="","Missing Assignment Number",IF($E168="","Select Job Title",IF($I168="","Enter Pay Rate",IF($S168="","Job Title not found","Ready")))))</x:f>
      </x:c>
    </x:row>
    <x:row r="169" ht="22" customHeight="1">
      <x:c r="A169" s="205"/>
      <x:c r="B169" s="205"/>
      <x:c r="C169" s="206"/>
      <x:c r="D169" s="205"/>
      <x:c r="E169" s="207"/>
      <x:c r="F169" s="208"/>
      <x:c r="G169" s="209" t="str">
        <x:f>IF($S169="","",IFERROR(VLOOKUP($S169,'Data'!$D$2:$G$14,3,FALSE),""))</x:f>
      </x:c>
      <x:c r="H169" s="210" t="str">
        <x:f>IF($G169="","",$G169/'Data'!$O$2/'Data'!$O$3)</x:f>
      </x:c>
      <x:c r="I169" s="211"/>
      <x:c r="J169" s="209" t="str">
        <x:f>IF(OR($E169="",$I169=""),"",$I169*'Data'!$O$2*'Data'!$O$3)</x:f>
      </x:c>
      <x:c r="K169" s="212" t="str">
        <x:f>IF(OR($J169="",$G169=""),"",$J169/$G169)</x:f>
      </x:c>
      <x:c r="L169" s="213" t="str">
        <x:f>IF($K169="","",VLOOKUP($K169,'Data'!$I$2:$L$6,3,TRUE))</x:f>
      </x:c>
      <x:c r="M169" s="210" t="str">
        <x:f>IF($L169="","",$I169*$L169)</x:f>
      </x:c>
      <x:c r="N169" s="214" t="str">
        <x:f>IF($M169="","",ROUNDDOWN($I169+$M169,2))</x:f>
      </x:c>
      <x:c r="O169" s="210" t="str">
        <x:f>IF($N169="","",ROUNDDOWN(ROUNDDOWN($N169,2)*$R169,3))</x:f>
      </x:c>
      <x:c r="P169" s="215"/>
      <x:c r="Q169" s="222" t="str">
        <x:f>IF($E169="","",IF(OR(RIGHT(UPPER(TRIM(SUBSTITUTE(CLEAN($E169),CHAR(160)," "))),2)="P1",RIGHT(UPPER(TRIM(SUBSTITUTE(CLEAN($E169),CHAR(160)," "))),2)="P2",RIGHT(UPPER(TRIM(SUBSTITUTE(CLEAN($E169),CHAR(160)," "))),2)="P3",RIGHT(UPPER(TRIM(SUBSTITUTE(CLEAN($E169),CHAR(160)," "))),2)="P4",ISNUMBER(SEARCH("INDUSTRIAL HYGIENIST 1 ENVIRONMENT",UPPER(TRIM(SUBSTITUTE(CLEAN($E169),CHAR(160)," ")))))),"PS","GS"))</x:f>
      </x:c>
      <x:c r="R169" s="223" t="str">
        <x:f>IF($Q169="","",IF($Q169="PS",'Data'!$O$5,'Data'!$O$4))</x:f>
      </x:c>
      <x:c r="S169" s="224" t="str">
        <x:f>IF($E169="","",IFERROR(VLOOKUP($E169,'Data'!$A$2:$B$114,2,FALSE),""))</x:f>
      </x:c>
      <x:c r="T169" s="217" t="str">
        <x:f>IF($K169="","",VLOOKUP($K169,'Data'!$I$2:$L$6,2,TRUE))</x:f>
      </x:c>
      <x:c r="U169" s="217"/>
      <x:c r="V169" s="221" t="str">
        <x:f>IF($L169="","",$J169*$L169)</x:f>
      </x:c>
      <x:c r="W169" s="221" t="str">
        <x:f>IF($V169="","",$J169+$V169)</x:f>
      </x:c>
      <x:c r="X169" s="217" t="str">
        <x:f>IF($Y169="Ready","Review and inform supplier","")</x:f>
      </x:c>
      <x:c r="Y169" s="217" t="str">
        <x:f>IF(AND($B169="",$E169="",$I169=""),"",IF($B169="","Missing Assignment Number",IF($E169="","Select Job Title",IF($I169="","Enter Pay Rate",IF($S169="","Job Title not found","Ready")))))</x:f>
      </x:c>
    </x:row>
    <x:row r="170" ht="22" customHeight="1">
      <x:c r="A170" s="205"/>
      <x:c r="B170" s="205"/>
      <x:c r="C170" s="206"/>
      <x:c r="D170" s="205"/>
      <x:c r="E170" s="207"/>
      <x:c r="F170" s="208"/>
      <x:c r="G170" s="209" t="str">
        <x:f>IF($S170="","",IFERROR(VLOOKUP($S170,'Data'!$D$2:$G$14,3,FALSE),""))</x:f>
      </x:c>
      <x:c r="H170" s="210" t="str">
        <x:f>IF($G170="","",$G170/'Data'!$O$2/'Data'!$O$3)</x:f>
      </x:c>
      <x:c r="I170" s="211"/>
      <x:c r="J170" s="209" t="str">
        <x:f>IF(OR($E170="",$I170=""),"",$I170*'Data'!$O$2*'Data'!$O$3)</x:f>
      </x:c>
      <x:c r="K170" s="212" t="str">
        <x:f>IF(OR($J170="",$G170=""),"",$J170/$G170)</x:f>
      </x:c>
      <x:c r="L170" s="213" t="str">
        <x:f>IF($K170="","",VLOOKUP($K170,'Data'!$I$2:$L$6,3,TRUE))</x:f>
      </x:c>
      <x:c r="M170" s="210" t="str">
        <x:f>IF($L170="","",$I170*$L170)</x:f>
      </x:c>
      <x:c r="N170" s="214" t="str">
        <x:f>IF($M170="","",ROUNDDOWN($I170+$M170,2))</x:f>
      </x:c>
      <x:c r="O170" s="210" t="str">
        <x:f>IF($N170="","",ROUNDDOWN(ROUNDDOWN($N170,2)*$R170,3))</x:f>
      </x:c>
      <x:c r="P170" s="215"/>
      <x:c r="Q170" s="222" t="str">
        <x:f>IF($E170="","",IF(OR(RIGHT(UPPER(TRIM(SUBSTITUTE(CLEAN($E170),CHAR(160)," "))),2)="P1",RIGHT(UPPER(TRIM(SUBSTITUTE(CLEAN($E170),CHAR(160)," "))),2)="P2",RIGHT(UPPER(TRIM(SUBSTITUTE(CLEAN($E170),CHAR(160)," "))),2)="P3",RIGHT(UPPER(TRIM(SUBSTITUTE(CLEAN($E170),CHAR(160)," "))),2)="P4",ISNUMBER(SEARCH("INDUSTRIAL HYGIENIST 1 ENVIRONMENT",UPPER(TRIM(SUBSTITUTE(CLEAN($E170),CHAR(160)," ")))))),"PS","GS"))</x:f>
      </x:c>
      <x:c r="R170" s="223" t="str">
        <x:f>IF($Q170="","",IF($Q170="PS",'Data'!$O$5,'Data'!$O$4))</x:f>
      </x:c>
      <x:c r="S170" s="224" t="str">
        <x:f>IF($E170="","",IFERROR(VLOOKUP($E170,'Data'!$A$2:$B$114,2,FALSE),""))</x:f>
      </x:c>
      <x:c r="T170" s="217" t="str">
        <x:f>IF($K170="","",VLOOKUP($K170,'Data'!$I$2:$L$6,2,TRUE))</x:f>
      </x:c>
      <x:c r="U170" s="217"/>
      <x:c r="V170" s="221" t="str">
        <x:f>IF($L170="","",$J170*$L170)</x:f>
      </x:c>
      <x:c r="W170" s="221" t="str">
        <x:f>IF($V170="","",$J170+$V170)</x:f>
      </x:c>
      <x:c r="X170" s="217" t="str">
        <x:f>IF($Y170="Ready","Review and inform supplier","")</x:f>
      </x:c>
      <x:c r="Y170" s="217" t="str">
        <x:f>IF(AND($B170="",$E170="",$I170=""),"",IF($B170="","Missing Assignment Number",IF($E170="","Select Job Title",IF($I170="","Enter Pay Rate",IF($S170="","Job Title not found","Ready")))))</x:f>
      </x:c>
    </x:row>
    <x:row r="171" ht="22" customHeight="1">
      <x:c r="A171" s="205"/>
      <x:c r="B171" s="205"/>
      <x:c r="C171" s="206"/>
      <x:c r="D171" s="205"/>
      <x:c r="E171" s="207"/>
      <x:c r="F171" s="208"/>
      <x:c r="G171" s="209" t="str">
        <x:f>IF($S171="","",IFERROR(VLOOKUP($S171,'Data'!$D$2:$G$14,3,FALSE),""))</x:f>
      </x:c>
      <x:c r="H171" s="210" t="str">
        <x:f>IF($G171="","",$G171/'Data'!$O$2/'Data'!$O$3)</x:f>
      </x:c>
      <x:c r="I171" s="211"/>
      <x:c r="J171" s="209" t="str">
        <x:f>IF(OR($E171="",$I171=""),"",$I171*'Data'!$O$2*'Data'!$O$3)</x:f>
      </x:c>
      <x:c r="K171" s="212" t="str">
        <x:f>IF(OR($J171="",$G171=""),"",$J171/$G171)</x:f>
      </x:c>
      <x:c r="L171" s="213" t="str">
        <x:f>IF($K171="","",VLOOKUP($K171,'Data'!$I$2:$L$6,3,TRUE))</x:f>
      </x:c>
      <x:c r="M171" s="210" t="str">
        <x:f>IF($L171="","",$I171*$L171)</x:f>
      </x:c>
      <x:c r="N171" s="214" t="str">
        <x:f>IF($M171="","",ROUNDDOWN($I171+$M171,2))</x:f>
      </x:c>
      <x:c r="O171" s="210" t="str">
        <x:f>IF($N171="","",ROUNDDOWN(ROUNDDOWN($N171,2)*$R171,3))</x:f>
      </x:c>
      <x:c r="P171" s="215"/>
      <x:c r="Q171" s="222" t="str">
        <x:f>IF($E171="","",IF(OR(RIGHT(UPPER(TRIM(SUBSTITUTE(CLEAN($E171),CHAR(160)," "))),2)="P1",RIGHT(UPPER(TRIM(SUBSTITUTE(CLEAN($E171),CHAR(160)," "))),2)="P2",RIGHT(UPPER(TRIM(SUBSTITUTE(CLEAN($E171),CHAR(160)," "))),2)="P3",RIGHT(UPPER(TRIM(SUBSTITUTE(CLEAN($E171),CHAR(160)," "))),2)="P4",ISNUMBER(SEARCH("INDUSTRIAL HYGIENIST 1 ENVIRONMENT",UPPER(TRIM(SUBSTITUTE(CLEAN($E171),CHAR(160)," ")))))),"PS","GS"))</x:f>
      </x:c>
      <x:c r="R171" s="223" t="str">
        <x:f>IF($Q171="","",IF($Q171="PS",'Data'!$O$5,'Data'!$O$4))</x:f>
      </x:c>
      <x:c r="S171" s="224" t="str">
        <x:f>IF($E171="","",IFERROR(VLOOKUP($E171,'Data'!$A$2:$B$114,2,FALSE),""))</x:f>
      </x:c>
      <x:c r="T171" s="217" t="str">
        <x:f>IF($K171="","",VLOOKUP($K171,'Data'!$I$2:$L$6,2,TRUE))</x:f>
      </x:c>
      <x:c r="U171" s="217"/>
      <x:c r="V171" s="221" t="str">
        <x:f>IF($L171="","",$J171*$L171)</x:f>
      </x:c>
      <x:c r="W171" s="221" t="str">
        <x:f>IF($V171="","",$J171+$V171)</x:f>
      </x:c>
      <x:c r="X171" s="217" t="str">
        <x:f>IF($Y171="Ready","Review and inform supplier","")</x:f>
      </x:c>
      <x:c r="Y171" s="217" t="str">
        <x:f>IF(AND($B171="",$E171="",$I171=""),"",IF($B171="","Missing Assignment Number",IF($E171="","Select Job Title",IF($I171="","Enter Pay Rate",IF($S171="","Job Title not found","Ready")))))</x:f>
      </x:c>
    </x:row>
    <x:row r="172" ht="22" customHeight="1">
      <x:c r="A172" s="205"/>
      <x:c r="B172" s="205"/>
      <x:c r="C172" s="206"/>
      <x:c r="D172" s="205"/>
      <x:c r="E172" s="207"/>
      <x:c r="F172" s="208"/>
      <x:c r="G172" s="209" t="str">
        <x:f>IF($S172="","",IFERROR(VLOOKUP($S172,'Data'!$D$2:$G$14,3,FALSE),""))</x:f>
      </x:c>
      <x:c r="H172" s="210" t="str">
        <x:f>IF($G172="","",$G172/'Data'!$O$2/'Data'!$O$3)</x:f>
      </x:c>
      <x:c r="I172" s="211"/>
      <x:c r="J172" s="209" t="str">
        <x:f>IF(OR($E172="",$I172=""),"",$I172*'Data'!$O$2*'Data'!$O$3)</x:f>
      </x:c>
      <x:c r="K172" s="212" t="str">
        <x:f>IF(OR($J172="",$G172=""),"",$J172/$G172)</x:f>
      </x:c>
      <x:c r="L172" s="213" t="str">
        <x:f>IF($K172="","",VLOOKUP($K172,'Data'!$I$2:$L$6,3,TRUE))</x:f>
      </x:c>
      <x:c r="M172" s="210" t="str">
        <x:f>IF($L172="","",$I172*$L172)</x:f>
      </x:c>
      <x:c r="N172" s="214" t="str">
        <x:f>IF($M172="","",ROUNDDOWN($I172+$M172,2))</x:f>
      </x:c>
      <x:c r="O172" s="210" t="str">
        <x:f>IF($N172="","",ROUNDDOWN(ROUNDDOWN($N172,2)*$R172,3))</x:f>
      </x:c>
      <x:c r="P172" s="215"/>
      <x:c r="Q172" s="222" t="str">
        <x:f>IF($E172="","",IF(OR(RIGHT(UPPER(TRIM(SUBSTITUTE(CLEAN($E172),CHAR(160)," "))),2)="P1",RIGHT(UPPER(TRIM(SUBSTITUTE(CLEAN($E172),CHAR(160)," "))),2)="P2",RIGHT(UPPER(TRIM(SUBSTITUTE(CLEAN($E172),CHAR(160)," "))),2)="P3",RIGHT(UPPER(TRIM(SUBSTITUTE(CLEAN($E172),CHAR(160)," "))),2)="P4",ISNUMBER(SEARCH("INDUSTRIAL HYGIENIST 1 ENVIRONMENT",UPPER(TRIM(SUBSTITUTE(CLEAN($E172),CHAR(160)," ")))))),"PS","GS"))</x:f>
      </x:c>
      <x:c r="R172" s="223" t="str">
        <x:f>IF($Q172="","",IF($Q172="PS",'Data'!$O$5,'Data'!$O$4))</x:f>
      </x:c>
      <x:c r="S172" s="224" t="str">
        <x:f>IF($E172="","",IFERROR(VLOOKUP($E172,'Data'!$A$2:$B$114,2,FALSE),""))</x:f>
      </x:c>
      <x:c r="T172" s="217" t="str">
        <x:f>IF($K172="","",VLOOKUP($K172,'Data'!$I$2:$L$6,2,TRUE))</x:f>
      </x:c>
      <x:c r="U172" s="217"/>
      <x:c r="V172" s="221" t="str">
        <x:f>IF($L172="","",$J172*$L172)</x:f>
      </x:c>
      <x:c r="W172" s="221" t="str">
        <x:f>IF($V172="","",$J172+$V172)</x:f>
      </x:c>
      <x:c r="X172" s="217" t="str">
        <x:f>IF($Y172="Ready","Review and inform supplier","")</x:f>
      </x:c>
      <x:c r="Y172" s="217" t="str">
        <x:f>IF(AND($B172="",$E172="",$I172=""),"",IF($B172="","Missing Assignment Number",IF($E172="","Select Job Title",IF($I172="","Enter Pay Rate",IF($S172="","Job Title not found","Ready")))))</x:f>
      </x:c>
    </x:row>
    <x:row r="173" ht="22" customHeight="1">
      <x:c r="A173" s="205"/>
      <x:c r="B173" s="205"/>
      <x:c r="C173" s="206"/>
      <x:c r="D173" s="205"/>
      <x:c r="E173" s="207"/>
      <x:c r="F173" s="208"/>
      <x:c r="G173" s="209" t="str">
        <x:f>IF($S173="","",IFERROR(VLOOKUP($S173,'Data'!$D$2:$G$14,3,FALSE),""))</x:f>
      </x:c>
      <x:c r="H173" s="210" t="str">
        <x:f>IF($G173="","",$G173/'Data'!$O$2/'Data'!$O$3)</x:f>
      </x:c>
      <x:c r="I173" s="211"/>
      <x:c r="J173" s="209" t="str">
        <x:f>IF(OR($E173="",$I173=""),"",$I173*'Data'!$O$2*'Data'!$O$3)</x:f>
      </x:c>
      <x:c r="K173" s="212" t="str">
        <x:f>IF(OR($J173="",$G173=""),"",$J173/$G173)</x:f>
      </x:c>
      <x:c r="L173" s="213" t="str">
        <x:f>IF($K173="","",VLOOKUP($K173,'Data'!$I$2:$L$6,3,TRUE))</x:f>
      </x:c>
      <x:c r="M173" s="210" t="str">
        <x:f>IF($L173="","",$I173*$L173)</x:f>
      </x:c>
      <x:c r="N173" s="214" t="str">
        <x:f>IF($M173="","",ROUNDDOWN($I173+$M173,2))</x:f>
      </x:c>
      <x:c r="O173" s="210" t="str">
        <x:f>IF($N173="","",ROUNDDOWN(ROUNDDOWN($N173,2)*$R173,3))</x:f>
      </x:c>
      <x:c r="P173" s="215"/>
      <x:c r="Q173" s="222" t="str">
        <x:f>IF($E173="","",IF(OR(RIGHT(UPPER(TRIM(SUBSTITUTE(CLEAN($E173),CHAR(160)," "))),2)="P1",RIGHT(UPPER(TRIM(SUBSTITUTE(CLEAN($E173),CHAR(160)," "))),2)="P2",RIGHT(UPPER(TRIM(SUBSTITUTE(CLEAN($E173),CHAR(160)," "))),2)="P3",RIGHT(UPPER(TRIM(SUBSTITUTE(CLEAN($E173),CHAR(160)," "))),2)="P4",ISNUMBER(SEARCH("INDUSTRIAL HYGIENIST 1 ENVIRONMENT",UPPER(TRIM(SUBSTITUTE(CLEAN($E173),CHAR(160)," ")))))),"PS","GS"))</x:f>
      </x:c>
      <x:c r="R173" s="223" t="str">
        <x:f>IF($Q173="","",IF($Q173="PS",'Data'!$O$5,'Data'!$O$4))</x:f>
      </x:c>
      <x:c r="S173" s="224" t="str">
        <x:f>IF($E173="","",IFERROR(VLOOKUP($E173,'Data'!$A$2:$B$114,2,FALSE),""))</x:f>
      </x:c>
      <x:c r="T173" s="217" t="str">
        <x:f>IF($K173="","",VLOOKUP($K173,'Data'!$I$2:$L$6,2,TRUE))</x:f>
      </x:c>
      <x:c r="U173" s="217"/>
      <x:c r="V173" s="221" t="str">
        <x:f>IF($L173="","",$J173*$L173)</x:f>
      </x:c>
      <x:c r="W173" s="221" t="str">
        <x:f>IF($V173="","",$J173+$V173)</x:f>
      </x:c>
      <x:c r="X173" s="217" t="str">
        <x:f>IF($Y173="Ready","Review and inform supplier","")</x:f>
      </x:c>
      <x:c r="Y173" s="217" t="str">
        <x:f>IF(AND($B173="",$E173="",$I173=""),"",IF($B173="","Missing Assignment Number",IF($E173="","Select Job Title",IF($I173="","Enter Pay Rate",IF($S173="","Job Title not found","Ready")))))</x:f>
      </x:c>
    </x:row>
    <x:row r="174" ht="22" customHeight="1">
      <x:c r="A174" s="205"/>
      <x:c r="B174" s="205"/>
      <x:c r="C174" s="206"/>
      <x:c r="D174" s="205"/>
      <x:c r="E174" s="207"/>
      <x:c r="F174" s="208"/>
      <x:c r="G174" s="209" t="str">
        <x:f>IF($S174="","",IFERROR(VLOOKUP($S174,'Data'!$D$2:$G$14,3,FALSE),""))</x:f>
      </x:c>
      <x:c r="H174" s="210" t="str">
        <x:f>IF($G174="","",$G174/'Data'!$O$2/'Data'!$O$3)</x:f>
      </x:c>
      <x:c r="I174" s="211"/>
      <x:c r="J174" s="209" t="str">
        <x:f>IF(OR($E174="",$I174=""),"",$I174*'Data'!$O$2*'Data'!$O$3)</x:f>
      </x:c>
      <x:c r="K174" s="212" t="str">
        <x:f>IF(OR($J174="",$G174=""),"",$J174/$G174)</x:f>
      </x:c>
      <x:c r="L174" s="213" t="str">
        <x:f>IF($K174="","",VLOOKUP($K174,'Data'!$I$2:$L$6,3,TRUE))</x:f>
      </x:c>
      <x:c r="M174" s="210" t="str">
        <x:f>IF($L174="","",$I174*$L174)</x:f>
      </x:c>
      <x:c r="N174" s="214" t="str">
        <x:f>IF($M174="","",ROUNDDOWN($I174+$M174,2))</x:f>
      </x:c>
      <x:c r="O174" s="210" t="str">
        <x:f>IF($N174="","",ROUNDDOWN(ROUNDDOWN($N174,2)*$R174,3))</x:f>
      </x:c>
      <x:c r="P174" s="215"/>
      <x:c r="Q174" s="222" t="str">
        <x:f>IF($E174="","",IF(OR(RIGHT(UPPER(TRIM(SUBSTITUTE(CLEAN($E174),CHAR(160)," "))),2)="P1",RIGHT(UPPER(TRIM(SUBSTITUTE(CLEAN($E174),CHAR(160)," "))),2)="P2",RIGHT(UPPER(TRIM(SUBSTITUTE(CLEAN($E174),CHAR(160)," "))),2)="P3",RIGHT(UPPER(TRIM(SUBSTITUTE(CLEAN($E174),CHAR(160)," "))),2)="P4",ISNUMBER(SEARCH("INDUSTRIAL HYGIENIST 1 ENVIRONMENT",UPPER(TRIM(SUBSTITUTE(CLEAN($E174),CHAR(160)," ")))))),"PS","GS"))</x:f>
      </x:c>
      <x:c r="R174" s="223" t="str">
        <x:f>IF($Q174="","",IF($Q174="PS",'Data'!$O$5,'Data'!$O$4))</x:f>
      </x:c>
      <x:c r="S174" s="224" t="str">
        <x:f>IF($E174="","",IFERROR(VLOOKUP($E174,'Data'!$A$2:$B$114,2,FALSE),""))</x:f>
      </x:c>
      <x:c r="T174" s="217" t="str">
        <x:f>IF($K174="","",VLOOKUP($K174,'Data'!$I$2:$L$6,2,TRUE))</x:f>
      </x:c>
      <x:c r="U174" s="217"/>
      <x:c r="V174" s="221" t="str">
        <x:f>IF($L174="","",$J174*$L174)</x:f>
      </x:c>
      <x:c r="W174" s="221" t="str">
        <x:f>IF($V174="","",$J174+$V174)</x:f>
      </x:c>
      <x:c r="X174" s="217" t="str">
        <x:f>IF($Y174="Ready","Review and inform supplier","")</x:f>
      </x:c>
      <x:c r="Y174" s="217" t="str">
        <x:f>IF(AND($B174="",$E174="",$I174=""),"",IF($B174="","Missing Assignment Number",IF($E174="","Select Job Title",IF($I174="","Enter Pay Rate",IF($S174="","Job Title not found","Ready")))))</x:f>
      </x:c>
    </x:row>
    <x:row r="175" ht="22" customHeight="1">
      <x:c r="A175" s="205"/>
      <x:c r="B175" s="205"/>
      <x:c r="C175" s="206"/>
      <x:c r="D175" s="205"/>
      <x:c r="E175" s="207"/>
      <x:c r="F175" s="208"/>
      <x:c r="G175" s="209" t="str">
        <x:f>IF($S175="","",IFERROR(VLOOKUP($S175,'Data'!$D$2:$G$14,3,FALSE),""))</x:f>
      </x:c>
      <x:c r="H175" s="210" t="str">
        <x:f>IF($G175="","",$G175/'Data'!$O$2/'Data'!$O$3)</x:f>
      </x:c>
      <x:c r="I175" s="211"/>
      <x:c r="J175" s="209" t="str">
        <x:f>IF(OR($E175="",$I175=""),"",$I175*'Data'!$O$2*'Data'!$O$3)</x:f>
      </x:c>
      <x:c r="K175" s="212" t="str">
        <x:f>IF(OR($J175="",$G175=""),"",$J175/$G175)</x:f>
      </x:c>
      <x:c r="L175" s="213" t="str">
        <x:f>IF($K175="","",VLOOKUP($K175,'Data'!$I$2:$L$6,3,TRUE))</x:f>
      </x:c>
      <x:c r="M175" s="210" t="str">
        <x:f>IF($L175="","",$I175*$L175)</x:f>
      </x:c>
      <x:c r="N175" s="214" t="str">
        <x:f>IF($M175="","",ROUNDDOWN($I175+$M175,2))</x:f>
      </x:c>
      <x:c r="O175" s="210" t="str">
        <x:f>IF($N175="","",ROUNDDOWN(ROUNDDOWN($N175,2)*$R175,3))</x:f>
      </x:c>
      <x:c r="P175" s="215"/>
      <x:c r="Q175" s="222" t="str">
        <x:f>IF($E175="","",IF(OR(RIGHT(UPPER(TRIM(SUBSTITUTE(CLEAN($E175),CHAR(160)," "))),2)="P1",RIGHT(UPPER(TRIM(SUBSTITUTE(CLEAN($E175),CHAR(160)," "))),2)="P2",RIGHT(UPPER(TRIM(SUBSTITUTE(CLEAN($E175),CHAR(160)," "))),2)="P3",RIGHT(UPPER(TRIM(SUBSTITUTE(CLEAN($E175),CHAR(160)," "))),2)="P4",ISNUMBER(SEARCH("INDUSTRIAL HYGIENIST 1 ENVIRONMENT",UPPER(TRIM(SUBSTITUTE(CLEAN($E175),CHAR(160)," ")))))),"PS","GS"))</x:f>
      </x:c>
      <x:c r="R175" s="223" t="str">
        <x:f>IF($Q175="","",IF($Q175="PS",'Data'!$O$5,'Data'!$O$4))</x:f>
      </x:c>
      <x:c r="S175" s="224" t="str">
        <x:f>IF($E175="","",IFERROR(VLOOKUP($E175,'Data'!$A$2:$B$114,2,FALSE),""))</x:f>
      </x:c>
      <x:c r="T175" s="217" t="str">
        <x:f>IF($K175="","",VLOOKUP($K175,'Data'!$I$2:$L$6,2,TRUE))</x:f>
      </x:c>
      <x:c r="U175" s="217"/>
      <x:c r="V175" s="221" t="str">
        <x:f>IF($L175="","",$J175*$L175)</x:f>
      </x:c>
      <x:c r="W175" s="221" t="str">
        <x:f>IF($V175="","",$J175+$V175)</x:f>
      </x:c>
      <x:c r="X175" s="217" t="str">
        <x:f>IF($Y175="Ready","Review and inform supplier","")</x:f>
      </x:c>
      <x:c r="Y175" s="217" t="str">
        <x:f>IF(AND($B175="",$E175="",$I175=""),"",IF($B175="","Missing Assignment Number",IF($E175="","Select Job Title",IF($I175="","Enter Pay Rate",IF($S175="","Job Title not found","Ready")))))</x:f>
      </x:c>
    </x:row>
    <x:row r="176" ht="22" customHeight="1">
      <x:c r="A176" s="205"/>
      <x:c r="B176" s="205"/>
      <x:c r="C176" s="206"/>
      <x:c r="D176" s="205"/>
      <x:c r="E176" s="207"/>
      <x:c r="F176" s="208"/>
      <x:c r="G176" s="209" t="str">
        <x:f>IF($S176="","",IFERROR(VLOOKUP($S176,'Data'!$D$2:$G$14,3,FALSE),""))</x:f>
      </x:c>
      <x:c r="H176" s="210" t="str">
        <x:f>IF($G176="","",$G176/'Data'!$O$2/'Data'!$O$3)</x:f>
      </x:c>
      <x:c r="I176" s="211"/>
      <x:c r="J176" s="209" t="str">
        <x:f>IF(OR($E176="",$I176=""),"",$I176*'Data'!$O$2*'Data'!$O$3)</x:f>
      </x:c>
      <x:c r="K176" s="212" t="str">
        <x:f>IF(OR($J176="",$G176=""),"",$J176/$G176)</x:f>
      </x:c>
      <x:c r="L176" s="213" t="str">
        <x:f>IF($K176="","",VLOOKUP($K176,'Data'!$I$2:$L$6,3,TRUE))</x:f>
      </x:c>
      <x:c r="M176" s="210" t="str">
        <x:f>IF($L176="","",$I176*$L176)</x:f>
      </x:c>
      <x:c r="N176" s="214" t="str">
        <x:f>IF($M176="","",ROUNDDOWN($I176+$M176,2))</x:f>
      </x:c>
      <x:c r="O176" s="210" t="str">
        <x:f>IF($N176="","",ROUNDDOWN(ROUNDDOWN($N176,2)*$R176,3))</x:f>
      </x:c>
      <x:c r="P176" s="215"/>
      <x:c r="Q176" s="222" t="str">
        <x:f>IF($E176="","",IF(OR(RIGHT(UPPER(TRIM(SUBSTITUTE(CLEAN($E176),CHAR(160)," "))),2)="P1",RIGHT(UPPER(TRIM(SUBSTITUTE(CLEAN($E176),CHAR(160)," "))),2)="P2",RIGHT(UPPER(TRIM(SUBSTITUTE(CLEAN($E176),CHAR(160)," "))),2)="P3",RIGHT(UPPER(TRIM(SUBSTITUTE(CLEAN($E176),CHAR(160)," "))),2)="P4",ISNUMBER(SEARCH("INDUSTRIAL HYGIENIST 1 ENVIRONMENT",UPPER(TRIM(SUBSTITUTE(CLEAN($E176),CHAR(160)," ")))))),"PS","GS"))</x:f>
      </x:c>
      <x:c r="R176" s="223" t="str">
        <x:f>IF($Q176="","",IF($Q176="PS",'Data'!$O$5,'Data'!$O$4))</x:f>
      </x:c>
      <x:c r="S176" s="224" t="str">
        <x:f>IF($E176="","",IFERROR(VLOOKUP($E176,'Data'!$A$2:$B$114,2,FALSE),""))</x:f>
      </x:c>
      <x:c r="T176" s="217" t="str">
        <x:f>IF($K176="","",VLOOKUP($K176,'Data'!$I$2:$L$6,2,TRUE))</x:f>
      </x:c>
      <x:c r="U176" s="217"/>
      <x:c r="V176" s="221" t="str">
        <x:f>IF($L176="","",$J176*$L176)</x:f>
      </x:c>
      <x:c r="W176" s="221" t="str">
        <x:f>IF($V176="","",$J176+$V176)</x:f>
      </x:c>
      <x:c r="X176" s="217" t="str">
        <x:f>IF($Y176="Ready","Review and inform supplier","")</x:f>
      </x:c>
      <x:c r="Y176" s="217" t="str">
        <x:f>IF(AND($B176="",$E176="",$I176=""),"",IF($B176="","Missing Assignment Number",IF($E176="","Select Job Title",IF($I176="","Enter Pay Rate",IF($S176="","Job Title not found","Ready")))))</x:f>
      </x:c>
    </x:row>
    <x:row r="177" ht="22" customHeight="1">
      <x:c r="A177" s="205"/>
      <x:c r="B177" s="205"/>
      <x:c r="C177" s="206"/>
      <x:c r="D177" s="205"/>
      <x:c r="E177" s="207"/>
      <x:c r="F177" s="208"/>
      <x:c r="G177" s="209" t="str">
        <x:f>IF($S177="","",IFERROR(VLOOKUP($S177,'Data'!$D$2:$G$14,3,FALSE),""))</x:f>
      </x:c>
      <x:c r="H177" s="210" t="str">
        <x:f>IF($G177="","",$G177/'Data'!$O$2/'Data'!$O$3)</x:f>
      </x:c>
      <x:c r="I177" s="211"/>
      <x:c r="J177" s="209" t="str">
        <x:f>IF(OR($E177="",$I177=""),"",$I177*'Data'!$O$2*'Data'!$O$3)</x:f>
      </x:c>
      <x:c r="K177" s="212" t="str">
        <x:f>IF(OR($J177="",$G177=""),"",$J177/$G177)</x:f>
      </x:c>
      <x:c r="L177" s="213" t="str">
        <x:f>IF($K177="","",VLOOKUP($K177,'Data'!$I$2:$L$6,3,TRUE))</x:f>
      </x:c>
      <x:c r="M177" s="210" t="str">
        <x:f>IF($L177="","",$I177*$L177)</x:f>
      </x:c>
      <x:c r="N177" s="214" t="str">
        <x:f>IF($M177="","",ROUNDDOWN($I177+$M177,2))</x:f>
      </x:c>
      <x:c r="O177" s="210" t="str">
        <x:f>IF($N177="","",ROUNDDOWN(ROUNDDOWN($N177,2)*$R177,3))</x:f>
      </x:c>
      <x:c r="P177" s="215"/>
      <x:c r="Q177" s="222" t="str">
        <x:f>IF($E177="","",IF(OR(RIGHT(UPPER(TRIM(SUBSTITUTE(CLEAN($E177),CHAR(160)," "))),2)="P1",RIGHT(UPPER(TRIM(SUBSTITUTE(CLEAN($E177),CHAR(160)," "))),2)="P2",RIGHT(UPPER(TRIM(SUBSTITUTE(CLEAN($E177),CHAR(160)," "))),2)="P3",RIGHT(UPPER(TRIM(SUBSTITUTE(CLEAN($E177),CHAR(160)," "))),2)="P4",ISNUMBER(SEARCH("INDUSTRIAL HYGIENIST 1 ENVIRONMENT",UPPER(TRIM(SUBSTITUTE(CLEAN($E177),CHAR(160)," ")))))),"PS","GS"))</x:f>
      </x:c>
      <x:c r="R177" s="223" t="str">
        <x:f>IF($Q177="","",IF($Q177="PS",'Data'!$O$5,'Data'!$O$4))</x:f>
      </x:c>
      <x:c r="S177" s="224" t="str">
        <x:f>IF($E177="","",IFERROR(VLOOKUP($E177,'Data'!$A$2:$B$114,2,FALSE),""))</x:f>
      </x:c>
      <x:c r="T177" s="217" t="str">
        <x:f>IF($K177="","",VLOOKUP($K177,'Data'!$I$2:$L$6,2,TRUE))</x:f>
      </x:c>
      <x:c r="U177" s="217"/>
      <x:c r="V177" s="221" t="str">
        <x:f>IF($L177="","",$J177*$L177)</x:f>
      </x:c>
      <x:c r="W177" s="221" t="str">
        <x:f>IF($V177="","",$J177+$V177)</x:f>
      </x:c>
      <x:c r="X177" s="217" t="str">
        <x:f>IF($Y177="Ready","Review and inform supplier","")</x:f>
      </x:c>
      <x:c r="Y177" s="217" t="str">
        <x:f>IF(AND($B177="",$E177="",$I177=""),"",IF($B177="","Missing Assignment Number",IF($E177="","Select Job Title",IF($I177="","Enter Pay Rate",IF($S177="","Job Title not found","Ready")))))</x:f>
      </x:c>
    </x:row>
    <x:row r="178" ht="22" customHeight="1">
      <x:c r="A178" s="205"/>
      <x:c r="B178" s="205"/>
      <x:c r="C178" s="206"/>
      <x:c r="D178" s="205"/>
      <x:c r="E178" s="207"/>
      <x:c r="F178" s="208"/>
      <x:c r="G178" s="209" t="str">
        <x:f>IF($S178="","",IFERROR(VLOOKUP($S178,'Data'!$D$2:$G$14,3,FALSE),""))</x:f>
      </x:c>
      <x:c r="H178" s="210" t="str">
        <x:f>IF($G178="","",$G178/'Data'!$O$2/'Data'!$O$3)</x:f>
      </x:c>
      <x:c r="I178" s="211"/>
      <x:c r="J178" s="209" t="str">
        <x:f>IF(OR($E178="",$I178=""),"",$I178*'Data'!$O$2*'Data'!$O$3)</x:f>
      </x:c>
      <x:c r="K178" s="212" t="str">
        <x:f>IF(OR($J178="",$G178=""),"",$J178/$G178)</x:f>
      </x:c>
      <x:c r="L178" s="213" t="str">
        <x:f>IF($K178="","",VLOOKUP($K178,'Data'!$I$2:$L$6,3,TRUE))</x:f>
      </x:c>
      <x:c r="M178" s="210" t="str">
        <x:f>IF($L178="","",$I178*$L178)</x:f>
      </x:c>
      <x:c r="N178" s="214" t="str">
        <x:f>IF($M178="","",ROUNDDOWN($I178+$M178,2))</x:f>
      </x:c>
      <x:c r="O178" s="210" t="str">
        <x:f>IF($N178="","",ROUNDDOWN(ROUNDDOWN($N178,2)*$R178,3))</x:f>
      </x:c>
      <x:c r="P178" s="215"/>
      <x:c r="Q178" s="222" t="str">
        <x:f>IF($E178="","",IF(OR(RIGHT(UPPER(TRIM(SUBSTITUTE(CLEAN($E178),CHAR(160)," "))),2)="P1",RIGHT(UPPER(TRIM(SUBSTITUTE(CLEAN($E178),CHAR(160)," "))),2)="P2",RIGHT(UPPER(TRIM(SUBSTITUTE(CLEAN($E178),CHAR(160)," "))),2)="P3",RIGHT(UPPER(TRIM(SUBSTITUTE(CLEAN($E178),CHAR(160)," "))),2)="P4",ISNUMBER(SEARCH("INDUSTRIAL HYGIENIST 1 ENVIRONMENT",UPPER(TRIM(SUBSTITUTE(CLEAN($E178),CHAR(160)," ")))))),"PS","GS"))</x:f>
      </x:c>
      <x:c r="R178" s="223" t="str">
        <x:f>IF($Q178="","",IF($Q178="PS",'Data'!$O$5,'Data'!$O$4))</x:f>
      </x:c>
      <x:c r="S178" s="224" t="str">
        <x:f>IF($E178="","",IFERROR(VLOOKUP($E178,'Data'!$A$2:$B$114,2,FALSE),""))</x:f>
      </x:c>
      <x:c r="T178" s="217" t="str">
        <x:f>IF($K178="","",VLOOKUP($K178,'Data'!$I$2:$L$6,2,TRUE))</x:f>
      </x:c>
      <x:c r="U178" s="217"/>
      <x:c r="V178" s="221" t="str">
        <x:f>IF($L178="","",$J178*$L178)</x:f>
      </x:c>
      <x:c r="W178" s="221" t="str">
        <x:f>IF($V178="","",$J178+$V178)</x:f>
      </x:c>
      <x:c r="X178" s="217" t="str">
        <x:f>IF($Y178="Ready","Review and inform supplier","")</x:f>
      </x:c>
      <x:c r="Y178" s="217" t="str">
        <x:f>IF(AND($B178="",$E178="",$I178=""),"",IF($B178="","Missing Assignment Number",IF($E178="","Select Job Title",IF($I178="","Enter Pay Rate",IF($S178="","Job Title not found","Ready")))))</x:f>
      </x:c>
    </x:row>
    <x:row r="179" ht="22" customHeight="1">
      <x:c r="A179" s="205"/>
      <x:c r="B179" s="205"/>
      <x:c r="C179" s="206"/>
      <x:c r="D179" s="205"/>
      <x:c r="E179" s="207"/>
      <x:c r="F179" s="208"/>
      <x:c r="G179" s="209" t="str">
        <x:f>IF($S179="","",IFERROR(VLOOKUP($S179,'Data'!$D$2:$G$14,3,FALSE),""))</x:f>
      </x:c>
      <x:c r="H179" s="210" t="str">
        <x:f>IF($G179="","",$G179/'Data'!$O$2/'Data'!$O$3)</x:f>
      </x:c>
      <x:c r="I179" s="211"/>
      <x:c r="J179" s="209" t="str">
        <x:f>IF(OR($E179="",$I179=""),"",$I179*'Data'!$O$2*'Data'!$O$3)</x:f>
      </x:c>
      <x:c r="K179" s="212" t="str">
        <x:f>IF(OR($J179="",$G179=""),"",$J179/$G179)</x:f>
      </x:c>
      <x:c r="L179" s="213" t="str">
        <x:f>IF($K179="","",VLOOKUP($K179,'Data'!$I$2:$L$6,3,TRUE))</x:f>
      </x:c>
      <x:c r="M179" s="210" t="str">
        <x:f>IF($L179="","",$I179*$L179)</x:f>
      </x:c>
      <x:c r="N179" s="214" t="str">
        <x:f>IF($M179="","",ROUNDDOWN($I179+$M179,2))</x:f>
      </x:c>
      <x:c r="O179" s="210" t="str">
        <x:f>IF($N179="","",ROUNDDOWN(ROUNDDOWN($N179,2)*$R179,3))</x:f>
      </x:c>
      <x:c r="P179" s="215"/>
      <x:c r="Q179" s="222" t="str">
        <x:f>IF($E179="","",IF(OR(RIGHT(UPPER(TRIM(SUBSTITUTE(CLEAN($E179),CHAR(160)," "))),2)="P1",RIGHT(UPPER(TRIM(SUBSTITUTE(CLEAN($E179),CHAR(160)," "))),2)="P2",RIGHT(UPPER(TRIM(SUBSTITUTE(CLEAN($E179),CHAR(160)," "))),2)="P3",RIGHT(UPPER(TRIM(SUBSTITUTE(CLEAN($E179),CHAR(160)," "))),2)="P4",ISNUMBER(SEARCH("INDUSTRIAL HYGIENIST 1 ENVIRONMENT",UPPER(TRIM(SUBSTITUTE(CLEAN($E179),CHAR(160)," ")))))),"PS","GS"))</x:f>
      </x:c>
      <x:c r="R179" s="223" t="str">
        <x:f>IF($Q179="","",IF($Q179="PS",'Data'!$O$5,'Data'!$O$4))</x:f>
      </x:c>
      <x:c r="S179" s="224" t="str">
        <x:f>IF($E179="","",IFERROR(VLOOKUP($E179,'Data'!$A$2:$B$114,2,FALSE),""))</x:f>
      </x:c>
      <x:c r="T179" s="217" t="str">
        <x:f>IF($K179="","",VLOOKUP($K179,'Data'!$I$2:$L$6,2,TRUE))</x:f>
      </x:c>
      <x:c r="U179" s="217"/>
      <x:c r="V179" s="221" t="str">
        <x:f>IF($L179="","",$J179*$L179)</x:f>
      </x:c>
      <x:c r="W179" s="221" t="str">
        <x:f>IF($V179="","",$J179+$V179)</x:f>
      </x:c>
      <x:c r="X179" s="217" t="str">
        <x:f>IF($Y179="Ready","Review and inform supplier","")</x:f>
      </x:c>
      <x:c r="Y179" s="217" t="str">
        <x:f>IF(AND($B179="",$E179="",$I179=""),"",IF($B179="","Missing Assignment Number",IF($E179="","Select Job Title",IF($I179="","Enter Pay Rate",IF($S179="","Job Title not found","Ready")))))</x:f>
      </x:c>
    </x:row>
    <x:row r="180" ht="22" customHeight="1">
      <x:c r="A180" s="205"/>
      <x:c r="B180" s="205"/>
      <x:c r="C180" s="206"/>
      <x:c r="D180" s="205"/>
      <x:c r="E180" s="207"/>
      <x:c r="F180" s="208"/>
      <x:c r="G180" s="209" t="str">
        <x:f>IF($S180="","",IFERROR(VLOOKUP($S180,'Data'!$D$2:$G$14,3,FALSE),""))</x:f>
      </x:c>
      <x:c r="H180" s="210" t="str">
        <x:f>IF($G180="","",$G180/'Data'!$O$2/'Data'!$O$3)</x:f>
      </x:c>
      <x:c r="I180" s="211"/>
      <x:c r="J180" s="209" t="str">
        <x:f>IF(OR($E180="",$I180=""),"",$I180*'Data'!$O$2*'Data'!$O$3)</x:f>
      </x:c>
      <x:c r="K180" s="212" t="str">
        <x:f>IF(OR($J180="",$G180=""),"",$J180/$G180)</x:f>
      </x:c>
      <x:c r="L180" s="213" t="str">
        <x:f>IF($K180="","",VLOOKUP($K180,'Data'!$I$2:$L$6,3,TRUE))</x:f>
      </x:c>
      <x:c r="M180" s="210" t="str">
        <x:f>IF($L180="","",$I180*$L180)</x:f>
      </x:c>
      <x:c r="N180" s="214" t="str">
        <x:f>IF($M180="","",ROUNDDOWN($I180+$M180,2))</x:f>
      </x:c>
      <x:c r="O180" s="210" t="str">
        <x:f>IF($N180="","",ROUNDDOWN(ROUNDDOWN($N180,2)*$R180,3))</x:f>
      </x:c>
      <x:c r="P180" s="215"/>
      <x:c r="Q180" s="222" t="str">
        <x:f>IF($E180="","",IF(OR(RIGHT(UPPER(TRIM(SUBSTITUTE(CLEAN($E180),CHAR(160)," "))),2)="P1",RIGHT(UPPER(TRIM(SUBSTITUTE(CLEAN($E180),CHAR(160)," "))),2)="P2",RIGHT(UPPER(TRIM(SUBSTITUTE(CLEAN($E180),CHAR(160)," "))),2)="P3",RIGHT(UPPER(TRIM(SUBSTITUTE(CLEAN($E180),CHAR(160)," "))),2)="P4",ISNUMBER(SEARCH("INDUSTRIAL HYGIENIST 1 ENVIRONMENT",UPPER(TRIM(SUBSTITUTE(CLEAN($E180),CHAR(160)," ")))))),"PS","GS"))</x:f>
      </x:c>
      <x:c r="R180" s="223" t="str">
        <x:f>IF($Q180="","",IF($Q180="PS",'Data'!$O$5,'Data'!$O$4))</x:f>
      </x:c>
      <x:c r="S180" s="224" t="str">
        <x:f>IF($E180="","",IFERROR(VLOOKUP($E180,'Data'!$A$2:$B$114,2,FALSE),""))</x:f>
      </x:c>
      <x:c r="T180" s="217" t="str">
        <x:f>IF($K180="","",VLOOKUP($K180,'Data'!$I$2:$L$6,2,TRUE))</x:f>
      </x:c>
      <x:c r="U180" s="217"/>
      <x:c r="V180" s="221" t="str">
        <x:f>IF($L180="","",$J180*$L180)</x:f>
      </x:c>
      <x:c r="W180" s="221" t="str">
        <x:f>IF($V180="","",$J180+$V180)</x:f>
      </x:c>
      <x:c r="X180" s="217" t="str">
        <x:f>IF($Y180="Ready","Review and inform supplier","")</x:f>
      </x:c>
      <x:c r="Y180" s="217" t="str">
        <x:f>IF(AND($B180="",$E180="",$I180=""),"",IF($B180="","Missing Assignment Number",IF($E180="","Select Job Title",IF($I180="","Enter Pay Rate",IF($S180="","Job Title not found","Ready")))))</x:f>
      </x:c>
    </x:row>
    <x:row r="181" ht="22" customHeight="1">
      <x:c r="A181" s="205"/>
      <x:c r="B181" s="205"/>
      <x:c r="C181" s="206"/>
      <x:c r="D181" s="205"/>
      <x:c r="E181" s="207"/>
      <x:c r="F181" s="208"/>
      <x:c r="G181" s="209" t="str">
        <x:f>IF($S181="","",IFERROR(VLOOKUP($S181,'Data'!$D$2:$G$14,3,FALSE),""))</x:f>
      </x:c>
      <x:c r="H181" s="210" t="str">
        <x:f>IF($G181="","",$G181/'Data'!$O$2/'Data'!$O$3)</x:f>
      </x:c>
      <x:c r="I181" s="211"/>
      <x:c r="J181" s="209" t="str">
        <x:f>IF(OR($E181="",$I181=""),"",$I181*'Data'!$O$2*'Data'!$O$3)</x:f>
      </x:c>
      <x:c r="K181" s="212" t="str">
        <x:f>IF(OR($J181="",$G181=""),"",$J181/$G181)</x:f>
      </x:c>
      <x:c r="L181" s="213" t="str">
        <x:f>IF($K181="","",VLOOKUP($K181,'Data'!$I$2:$L$6,3,TRUE))</x:f>
      </x:c>
      <x:c r="M181" s="210" t="str">
        <x:f>IF($L181="","",$I181*$L181)</x:f>
      </x:c>
      <x:c r="N181" s="214" t="str">
        <x:f>IF($M181="","",ROUNDDOWN($I181+$M181,2))</x:f>
      </x:c>
      <x:c r="O181" s="210" t="str">
        <x:f>IF($N181="","",ROUNDDOWN(ROUNDDOWN($N181,2)*$R181,3))</x:f>
      </x:c>
      <x:c r="P181" s="215"/>
      <x:c r="Q181" s="222" t="str">
        <x:f>IF($E181="","",IF(OR(RIGHT(UPPER(TRIM(SUBSTITUTE(CLEAN($E181),CHAR(160)," "))),2)="P1",RIGHT(UPPER(TRIM(SUBSTITUTE(CLEAN($E181),CHAR(160)," "))),2)="P2",RIGHT(UPPER(TRIM(SUBSTITUTE(CLEAN($E181),CHAR(160)," "))),2)="P3",RIGHT(UPPER(TRIM(SUBSTITUTE(CLEAN($E181),CHAR(160)," "))),2)="P4",ISNUMBER(SEARCH("INDUSTRIAL HYGIENIST 1 ENVIRONMENT",UPPER(TRIM(SUBSTITUTE(CLEAN($E181),CHAR(160)," ")))))),"PS","GS"))</x:f>
      </x:c>
      <x:c r="R181" s="223" t="str">
        <x:f>IF($Q181="","",IF($Q181="PS",'Data'!$O$5,'Data'!$O$4))</x:f>
      </x:c>
      <x:c r="S181" s="224" t="str">
        <x:f>IF($E181="","",IFERROR(VLOOKUP($E181,'Data'!$A$2:$B$114,2,FALSE),""))</x:f>
      </x:c>
      <x:c r="T181" s="217" t="str">
        <x:f>IF($K181="","",VLOOKUP($K181,'Data'!$I$2:$L$6,2,TRUE))</x:f>
      </x:c>
      <x:c r="U181" s="217"/>
      <x:c r="V181" s="221" t="str">
        <x:f>IF($L181="","",$J181*$L181)</x:f>
      </x:c>
      <x:c r="W181" s="221" t="str">
        <x:f>IF($V181="","",$J181+$V181)</x:f>
      </x:c>
      <x:c r="X181" s="217" t="str">
        <x:f>IF($Y181="Ready","Review and inform supplier","")</x:f>
      </x:c>
      <x:c r="Y181" s="217" t="str">
        <x:f>IF(AND($B181="",$E181="",$I181=""),"",IF($B181="","Missing Assignment Number",IF($E181="","Select Job Title",IF($I181="","Enter Pay Rate",IF($S181="","Job Title not found","Ready")))))</x:f>
      </x:c>
    </x:row>
    <x:row r="182" ht="22" customHeight="1">
      <x:c r="A182" s="205"/>
      <x:c r="B182" s="205"/>
      <x:c r="C182" s="206"/>
      <x:c r="D182" s="205"/>
      <x:c r="E182" s="207"/>
      <x:c r="F182" s="208"/>
      <x:c r="G182" s="209" t="str">
        <x:f>IF($S182="","",IFERROR(VLOOKUP($S182,'Data'!$D$2:$G$14,3,FALSE),""))</x:f>
      </x:c>
      <x:c r="H182" s="210" t="str">
        <x:f>IF($G182="","",$G182/'Data'!$O$2/'Data'!$O$3)</x:f>
      </x:c>
      <x:c r="I182" s="211"/>
      <x:c r="J182" s="209" t="str">
        <x:f>IF(OR($E182="",$I182=""),"",$I182*'Data'!$O$2*'Data'!$O$3)</x:f>
      </x:c>
      <x:c r="K182" s="212" t="str">
        <x:f>IF(OR($J182="",$G182=""),"",$J182/$G182)</x:f>
      </x:c>
      <x:c r="L182" s="213" t="str">
        <x:f>IF($K182="","",VLOOKUP($K182,'Data'!$I$2:$L$6,3,TRUE))</x:f>
      </x:c>
      <x:c r="M182" s="210" t="str">
        <x:f>IF($L182="","",$I182*$L182)</x:f>
      </x:c>
      <x:c r="N182" s="214" t="str">
        <x:f>IF($M182="","",ROUNDDOWN($I182+$M182,2))</x:f>
      </x:c>
      <x:c r="O182" s="210" t="str">
        <x:f>IF($N182="","",ROUNDDOWN(ROUNDDOWN($N182,2)*$R182,3))</x:f>
      </x:c>
      <x:c r="P182" s="215"/>
      <x:c r="Q182" s="222" t="str">
        <x:f>IF($E182="","",IF(OR(RIGHT(UPPER(TRIM(SUBSTITUTE(CLEAN($E182),CHAR(160)," "))),2)="P1",RIGHT(UPPER(TRIM(SUBSTITUTE(CLEAN($E182),CHAR(160)," "))),2)="P2",RIGHT(UPPER(TRIM(SUBSTITUTE(CLEAN($E182),CHAR(160)," "))),2)="P3",RIGHT(UPPER(TRIM(SUBSTITUTE(CLEAN($E182),CHAR(160)," "))),2)="P4",ISNUMBER(SEARCH("INDUSTRIAL HYGIENIST 1 ENVIRONMENT",UPPER(TRIM(SUBSTITUTE(CLEAN($E182),CHAR(160)," ")))))),"PS","GS"))</x:f>
      </x:c>
      <x:c r="R182" s="223" t="str">
        <x:f>IF($Q182="","",IF($Q182="PS",'Data'!$O$5,'Data'!$O$4))</x:f>
      </x:c>
      <x:c r="S182" s="224" t="str">
        <x:f>IF($E182="","",IFERROR(VLOOKUP($E182,'Data'!$A$2:$B$114,2,FALSE),""))</x:f>
      </x:c>
      <x:c r="T182" s="217" t="str">
        <x:f>IF($K182="","",VLOOKUP($K182,'Data'!$I$2:$L$6,2,TRUE))</x:f>
      </x:c>
      <x:c r="U182" s="217"/>
      <x:c r="V182" s="221" t="str">
        <x:f>IF($L182="","",$J182*$L182)</x:f>
      </x:c>
      <x:c r="W182" s="221" t="str">
        <x:f>IF($V182="","",$J182+$V182)</x:f>
      </x:c>
      <x:c r="X182" s="217" t="str">
        <x:f>IF($Y182="Ready","Review and inform supplier","")</x:f>
      </x:c>
      <x:c r="Y182" s="217" t="str">
        <x:f>IF(AND($B182="",$E182="",$I182=""),"",IF($B182="","Missing Assignment Number",IF($E182="","Select Job Title",IF($I182="","Enter Pay Rate",IF($S182="","Job Title not found","Ready")))))</x:f>
      </x:c>
    </x:row>
    <x:row r="183" ht="22" customHeight="1">
      <x:c r="A183" s="205"/>
      <x:c r="B183" s="205"/>
      <x:c r="C183" s="206"/>
      <x:c r="D183" s="205"/>
      <x:c r="E183" s="207"/>
      <x:c r="F183" s="208"/>
      <x:c r="G183" s="209" t="str">
        <x:f>IF($S183="","",IFERROR(VLOOKUP($S183,'Data'!$D$2:$G$14,3,FALSE),""))</x:f>
      </x:c>
      <x:c r="H183" s="210" t="str">
        <x:f>IF($G183="","",$G183/'Data'!$O$2/'Data'!$O$3)</x:f>
      </x:c>
      <x:c r="I183" s="211"/>
      <x:c r="J183" s="209" t="str">
        <x:f>IF(OR($E183="",$I183=""),"",$I183*'Data'!$O$2*'Data'!$O$3)</x:f>
      </x:c>
      <x:c r="K183" s="212" t="str">
        <x:f>IF(OR($J183="",$G183=""),"",$J183/$G183)</x:f>
      </x:c>
      <x:c r="L183" s="213" t="str">
        <x:f>IF($K183="","",VLOOKUP($K183,'Data'!$I$2:$L$6,3,TRUE))</x:f>
      </x:c>
      <x:c r="M183" s="210" t="str">
        <x:f>IF($L183="","",$I183*$L183)</x:f>
      </x:c>
      <x:c r="N183" s="214" t="str">
        <x:f>IF($M183="","",ROUNDDOWN($I183+$M183,2))</x:f>
      </x:c>
      <x:c r="O183" s="210" t="str">
        <x:f>IF($N183="","",ROUNDDOWN(ROUNDDOWN($N183,2)*$R183,3))</x:f>
      </x:c>
      <x:c r="P183" s="215"/>
      <x:c r="Q183" s="222" t="str">
        <x:f>IF($E183="","",IF(OR(RIGHT(UPPER(TRIM(SUBSTITUTE(CLEAN($E183),CHAR(160)," "))),2)="P1",RIGHT(UPPER(TRIM(SUBSTITUTE(CLEAN($E183),CHAR(160)," "))),2)="P2",RIGHT(UPPER(TRIM(SUBSTITUTE(CLEAN($E183),CHAR(160)," "))),2)="P3",RIGHT(UPPER(TRIM(SUBSTITUTE(CLEAN($E183),CHAR(160)," "))),2)="P4",ISNUMBER(SEARCH("INDUSTRIAL HYGIENIST 1 ENVIRONMENT",UPPER(TRIM(SUBSTITUTE(CLEAN($E183),CHAR(160)," ")))))),"PS","GS"))</x:f>
      </x:c>
      <x:c r="R183" s="223" t="str">
        <x:f>IF($Q183="","",IF($Q183="PS",'Data'!$O$5,'Data'!$O$4))</x:f>
      </x:c>
      <x:c r="S183" s="224" t="str">
        <x:f>IF($E183="","",IFERROR(VLOOKUP($E183,'Data'!$A$2:$B$114,2,FALSE),""))</x:f>
      </x:c>
      <x:c r="T183" s="217" t="str">
        <x:f>IF($K183="","",VLOOKUP($K183,'Data'!$I$2:$L$6,2,TRUE))</x:f>
      </x:c>
      <x:c r="U183" s="217"/>
      <x:c r="V183" s="221" t="str">
        <x:f>IF($L183="","",$J183*$L183)</x:f>
      </x:c>
      <x:c r="W183" s="221" t="str">
        <x:f>IF($V183="","",$J183+$V183)</x:f>
      </x:c>
      <x:c r="X183" s="217" t="str">
        <x:f>IF($Y183="Ready","Review and inform supplier","")</x:f>
      </x:c>
      <x:c r="Y183" s="217" t="str">
        <x:f>IF(AND($B183="",$E183="",$I183=""),"",IF($B183="","Missing Assignment Number",IF($E183="","Select Job Title",IF($I183="","Enter Pay Rate",IF($S183="","Job Title not found","Ready")))))</x:f>
      </x:c>
    </x:row>
    <x:row r="184" ht="22" customHeight="1">
      <x:c r="A184" s="205"/>
      <x:c r="B184" s="205"/>
      <x:c r="C184" s="206"/>
      <x:c r="D184" s="205"/>
      <x:c r="E184" s="207"/>
      <x:c r="F184" s="208"/>
      <x:c r="G184" s="209" t="str">
        <x:f>IF($S184="","",IFERROR(VLOOKUP($S184,'Data'!$D$2:$G$14,3,FALSE),""))</x:f>
      </x:c>
      <x:c r="H184" s="210" t="str">
        <x:f>IF($G184="","",$G184/'Data'!$O$2/'Data'!$O$3)</x:f>
      </x:c>
      <x:c r="I184" s="211"/>
      <x:c r="J184" s="209" t="str">
        <x:f>IF(OR($E184="",$I184=""),"",$I184*'Data'!$O$2*'Data'!$O$3)</x:f>
      </x:c>
      <x:c r="K184" s="212" t="str">
        <x:f>IF(OR($J184="",$G184=""),"",$J184/$G184)</x:f>
      </x:c>
      <x:c r="L184" s="213" t="str">
        <x:f>IF($K184="","",VLOOKUP($K184,'Data'!$I$2:$L$6,3,TRUE))</x:f>
      </x:c>
      <x:c r="M184" s="210" t="str">
        <x:f>IF($L184="","",$I184*$L184)</x:f>
      </x:c>
      <x:c r="N184" s="214" t="str">
        <x:f>IF($M184="","",ROUNDDOWN($I184+$M184,2))</x:f>
      </x:c>
      <x:c r="O184" s="210" t="str">
        <x:f>IF($N184="","",ROUNDDOWN(ROUNDDOWN($N184,2)*$R184,3))</x:f>
      </x:c>
      <x:c r="P184" s="215"/>
      <x:c r="Q184" s="222" t="str">
        <x:f>IF($E184="","",IF(OR(RIGHT(UPPER(TRIM(SUBSTITUTE(CLEAN($E184),CHAR(160)," "))),2)="P1",RIGHT(UPPER(TRIM(SUBSTITUTE(CLEAN($E184),CHAR(160)," "))),2)="P2",RIGHT(UPPER(TRIM(SUBSTITUTE(CLEAN($E184),CHAR(160)," "))),2)="P3",RIGHT(UPPER(TRIM(SUBSTITUTE(CLEAN($E184),CHAR(160)," "))),2)="P4",ISNUMBER(SEARCH("INDUSTRIAL HYGIENIST 1 ENVIRONMENT",UPPER(TRIM(SUBSTITUTE(CLEAN($E184),CHAR(160)," ")))))),"PS","GS"))</x:f>
      </x:c>
      <x:c r="R184" s="223" t="str">
        <x:f>IF($Q184="","",IF($Q184="PS",'Data'!$O$5,'Data'!$O$4))</x:f>
      </x:c>
      <x:c r="S184" s="224" t="str">
        <x:f>IF($E184="","",IFERROR(VLOOKUP($E184,'Data'!$A$2:$B$114,2,FALSE),""))</x:f>
      </x:c>
      <x:c r="T184" s="217" t="str">
        <x:f>IF($K184="","",VLOOKUP($K184,'Data'!$I$2:$L$6,2,TRUE))</x:f>
      </x:c>
      <x:c r="U184" s="217"/>
      <x:c r="V184" s="221" t="str">
        <x:f>IF($L184="","",$J184*$L184)</x:f>
      </x:c>
      <x:c r="W184" s="221" t="str">
        <x:f>IF($V184="","",$J184+$V184)</x:f>
      </x:c>
      <x:c r="X184" s="217" t="str">
        <x:f>IF($Y184="Ready","Review and inform supplier","")</x:f>
      </x:c>
      <x:c r="Y184" s="217" t="str">
        <x:f>IF(AND($B184="",$E184="",$I184=""),"",IF($B184="","Missing Assignment Number",IF($E184="","Select Job Title",IF($I184="","Enter Pay Rate",IF($S184="","Job Title not found","Ready")))))</x:f>
      </x:c>
    </x:row>
    <x:row r="185" ht="22" customHeight="1">
      <x:c r="A185" s="205"/>
      <x:c r="B185" s="205"/>
      <x:c r="C185" s="206"/>
      <x:c r="D185" s="205"/>
      <x:c r="E185" s="207"/>
      <x:c r="F185" s="208"/>
      <x:c r="G185" s="209" t="str">
        <x:f>IF($S185="","",IFERROR(VLOOKUP($S185,'Data'!$D$2:$G$14,3,FALSE),""))</x:f>
      </x:c>
      <x:c r="H185" s="210" t="str">
        <x:f>IF($G185="","",$G185/'Data'!$O$2/'Data'!$O$3)</x:f>
      </x:c>
      <x:c r="I185" s="211"/>
      <x:c r="J185" s="209" t="str">
        <x:f>IF(OR($E185="",$I185=""),"",$I185*'Data'!$O$2*'Data'!$O$3)</x:f>
      </x:c>
      <x:c r="K185" s="212" t="str">
        <x:f>IF(OR($J185="",$G185=""),"",$J185/$G185)</x:f>
      </x:c>
      <x:c r="L185" s="213" t="str">
        <x:f>IF($K185="","",VLOOKUP($K185,'Data'!$I$2:$L$6,3,TRUE))</x:f>
      </x:c>
      <x:c r="M185" s="210" t="str">
        <x:f>IF($L185="","",$I185*$L185)</x:f>
      </x:c>
      <x:c r="N185" s="214" t="str">
        <x:f>IF($M185="","",ROUNDDOWN($I185+$M185,2))</x:f>
      </x:c>
      <x:c r="O185" s="210" t="str">
        <x:f>IF($N185="","",ROUNDDOWN(ROUNDDOWN($N185,2)*$R185,3))</x:f>
      </x:c>
      <x:c r="P185" s="215"/>
      <x:c r="Q185" s="222" t="str">
        <x:f>IF($E185="","",IF(OR(RIGHT(UPPER(TRIM(SUBSTITUTE(CLEAN($E185),CHAR(160)," "))),2)="P1",RIGHT(UPPER(TRIM(SUBSTITUTE(CLEAN($E185),CHAR(160)," "))),2)="P2",RIGHT(UPPER(TRIM(SUBSTITUTE(CLEAN($E185),CHAR(160)," "))),2)="P3",RIGHT(UPPER(TRIM(SUBSTITUTE(CLEAN($E185),CHAR(160)," "))),2)="P4",ISNUMBER(SEARCH("INDUSTRIAL HYGIENIST 1 ENVIRONMENT",UPPER(TRIM(SUBSTITUTE(CLEAN($E185),CHAR(160)," ")))))),"PS","GS"))</x:f>
      </x:c>
      <x:c r="R185" s="223" t="str">
        <x:f>IF($Q185="","",IF($Q185="PS",'Data'!$O$5,'Data'!$O$4))</x:f>
      </x:c>
      <x:c r="S185" s="224" t="str">
        <x:f>IF($E185="","",IFERROR(VLOOKUP($E185,'Data'!$A$2:$B$114,2,FALSE),""))</x:f>
      </x:c>
      <x:c r="T185" s="217" t="str">
        <x:f>IF($K185="","",VLOOKUP($K185,'Data'!$I$2:$L$6,2,TRUE))</x:f>
      </x:c>
      <x:c r="U185" s="217"/>
      <x:c r="V185" s="221" t="str">
        <x:f>IF($L185="","",$J185*$L185)</x:f>
      </x:c>
      <x:c r="W185" s="221" t="str">
        <x:f>IF($V185="","",$J185+$V185)</x:f>
      </x:c>
      <x:c r="X185" s="217" t="str">
        <x:f>IF($Y185="Ready","Review and inform supplier","")</x:f>
      </x:c>
      <x:c r="Y185" s="217" t="str">
        <x:f>IF(AND($B185="",$E185="",$I185=""),"",IF($B185="","Missing Assignment Number",IF($E185="","Select Job Title",IF($I185="","Enter Pay Rate",IF($S185="","Job Title not found","Ready")))))</x:f>
      </x:c>
    </x:row>
    <x:row r="186" ht="22" customHeight="1">
      <x:c r="A186" s="205"/>
      <x:c r="B186" s="205"/>
      <x:c r="C186" s="206"/>
      <x:c r="D186" s="205"/>
      <x:c r="E186" s="207"/>
      <x:c r="F186" s="208"/>
      <x:c r="G186" s="209" t="str">
        <x:f>IF($S186="","",IFERROR(VLOOKUP($S186,'Data'!$D$2:$G$14,3,FALSE),""))</x:f>
      </x:c>
      <x:c r="H186" s="210" t="str">
        <x:f>IF($G186="","",$G186/'Data'!$O$2/'Data'!$O$3)</x:f>
      </x:c>
      <x:c r="I186" s="211"/>
      <x:c r="J186" s="209" t="str">
        <x:f>IF(OR($E186="",$I186=""),"",$I186*'Data'!$O$2*'Data'!$O$3)</x:f>
      </x:c>
      <x:c r="K186" s="212" t="str">
        <x:f>IF(OR($J186="",$G186=""),"",$J186/$G186)</x:f>
      </x:c>
      <x:c r="L186" s="213" t="str">
        <x:f>IF($K186="","",VLOOKUP($K186,'Data'!$I$2:$L$6,3,TRUE))</x:f>
      </x:c>
      <x:c r="M186" s="210" t="str">
        <x:f>IF($L186="","",$I186*$L186)</x:f>
      </x:c>
      <x:c r="N186" s="214" t="str">
        <x:f>IF($M186="","",ROUNDDOWN($I186+$M186,2))</x:f>
      </x:c>
      <x:c r="O186" s="210" t="str">
        <x:f>IF($N186="","",ROUNDDOWN(ROUNDDOWN($N186,2)*$R186,3))</x:f>
      </x:c>
      <x:c r="P186" s="215"/>
      <x:c r="Q186" s="222" t="str">
        <x:f>IF($E186="","",IF(OR(RIGHT(UPPER(TRIM(SUBSTITUTE(CLEAN($E186),CHAR(160)," "))),2)="P1",RIGHT(UPPER(TRIM(SUBSTITUTE(CLEAN($E186),CHAR(160)," "))),2)="P2",RIGHT(UPPER(TRIM(SUBSTITUTE(CLEAN($E186),CHAR(160)," "))),2)="P3",RIGHT(UPPER(TRIM(SUBSTITUTE(CLEAN($E186),CHAR(160)," "))),2)="P4",ISNUMBER(SEARCH("INDUSTRIAL HYGIENIST 1 ENVIRONMENT",UPPER(TRIM(SUBSTITUTE(CLEAN($E186),CHAR(160)," ")))))),"PS","GS"))</x:f>
      </x:c>
      <x:c r="R186" s="223" t="str">
        <x:f>IF($Q186="","",IF($Q186="PS",'Data'!$O$5,'Data'!$O$4))</x:f>
      </x:c>
      <x:c r="S186" s="224" t="str">
        <x:f>IF($E186="","",IFERROR(VLOOKUP($E186,'Data'!$A$2:$B$114,2,FALSE),""))</x:f>
      </x:c>
      <x:c r="T186" s="217" t="str">
        <x:f>IF($K186="","",VLOOKUP($K186,'Data'!$I$2:$L$6,2,TRUE))</x:f>
      </x:c>
      <x:c r="U186" s="217"/>
      <x:c r="V186" s="221" t="str">
        <x:f>IF($L186="","",$J186*$L186)</x:f>
      </x:c>
      <x:c r="W186" s="221" t="str">
        <x:f>IF($V186="","",$J186+$V186)</x:f>
      </x:c>
      <x:c r="X186" s="217" t="str">
        <x:f>IF($Y186="Ready","Review and inform supplier","")</x:f>
      </x:c>
      <x:c r="Y186" s="217" t="str">
        <x:f>IF(AND($B186="",$E186="",$I186=""),"",IF($B186="","Missing Assignment Number",IF($E186="","Select Job Title",IF($I186="","Enter Pay Rate",IF($S186="","Job Title not found","Ready")))))</x:f>
      </x:c>
    </x:row>
    <x:row r="187" ht="22" customHeight="1">
      <x:c r="A187" s="205"/>
      <x:c r="B187" s="205"/>
      <x:c r="C187" s="206"/>
      <x:c r="D187" s="205"/>
      <x:c r="E187" s="207"/>
      <x:c r="F187" s="208"/>
      <x:c r="G187" s="209" t="str">
        <x:f>IF($S187="","",IFERROR(VLOOKUP($S187,'Data'!$D$2:$G$14,3,FALSE),""))</x:f>
      </x:c>
      <x:c r="H187" s="210" t="str">
        <x:f>IF($G187="","",$G187/'Data'!$O$2/'Data'!$O$3)</x:f>
      </x:c>
      <x:c r="I187" s="211"/>
      <x:c r="J187" s="209" t="str">
        <x:f>IF(OR($E187="",$I187=""),"",$I187*'Data'!$O$2*'Data'!$O$3)</x:f>
      </x:c>
      <x:c r="K187" s="212" t="str">
        <x:f>IF(OR($J187="",$G187=""),"",$J187/$G187)</x:f>
      </x:c>
      <x:c r="L187" s="213" t="str">
        <x:f>IF($K187="","",VLOOKUP($K187,'Data'!$I$2:$L$6,3,TRUE))</x:f>
      </x:c>
      <x:c r="M187" s="210" t="str">
        <x:f>IF($L187="","",$I187*$L187)</x:f>
      </x:c>
      <x:c r="N187" s="214" t="str">
        <x:f>IF($M187="","",ROUNDDOWN($I187+$M187,2))</x:f>
      </x:c>
      <x:c r="O187" s="210" t="str">
        <x:f>IF($N187="","",ROUNDDOWN(ROUNDDOWN($N187,2)*$R187,3))</x:f>
      </x:c>
      <x:c r="P187" s="215"/>
      <x:c r="Q187" s="222" t="str">
        <x:f>IF($E187="","",IF(OR(RIGHT(UPPER(TRIM(SUBSTITUTE(CLEAN($E187),CHAR(160)," "))),2)="P1",RIGHT(UPPER(TRIM(SUBSTITUTE(CLEAN($E187),CHAR(160)," "))),2)="P2",RIGHT(UPPER(TRIM(SUBSTITUTE(CLEAN($E187),CHAR(160)," "))),2)="P3",RIGHT(UPPER(TRIM(SUBSTITUTE(CLEAN($E187),CHAR(160)," "))),2)="P4",ISNUMBER(SEARCH("INDUSTRIAL HYGIENIST 1 ENVIRONMENT",UPPER(TRIM(SUBSTITUTE(CLEAN($E187),CHAR(160)," ")))))),"PS","GS"))</x:f>
      </x:c>
      <x:c r="R187" s="223" t="str">
        <x:f>IF($Q187="","",IF($Q187="PS",'Data'!$O$5,'Data'!$O$4))</x:f>
      </x:c>
      <x:c r="S187" s="224" t="str">
        <x:f>IF($E187="","",IFERROR(VLOOKUP($E187,'Data'!$A$2:$B$114,2,FALSE),""))</x:f>
      </x:c>
      <x:c r="T187" s="217" t="str">
        <x:f>IF($K187="","",VLOOKUP($K187,'Data'!$I$2:$L$6,2,TRUE))</x:f>
      </x:c>
      <x:c r="U187" s="217"/>
      <x:c r="V187" s="221" t="str">
        <x:f>IF($L187="","",$J187*$L187)</x:f>
      </x:c>
      <x:c r="W187" s="221" t="str">
        <x:f>IF($V187="","",$J187+$V187)</x:f>
      </x:c>
      <x:c r="X187" s="217" t="str">
        <x:f>IF($Y187="Ready","Review and inform supplier","")</x:f>
      </x:c>
      <x:c r="Y187" s="217" t="str">
        <x:f>IF(AND($B187="",$E187="",$I187=""),"",IF($B187="","Missing Assignment Number",IF($E187="","Select Job Title",IF($I187="","Enter Pay Rate",IF($S187="","Job Title not found","Ready")))))</x:f>
      </x:c>
    </x:row>
    <x:row r="188" ht="22" customHeight="1">
      <x:c r="A188" s="205"/>
      <x:c r="B188" s="205"/>
      <x:c r="C188" s="206"/>
      <x:c r="D188" s="205"/>
      <x:c r="E188" s="207"/>
      <x:c r="F188" s="208"/>
      <x:c r="G188" s="209" t="str">
        <x:f>IF($S188="","",IFERROR(VLOOKUP($S188,'Data'!$D$2:$G$14,3,FALSE),""))</x:f>
      </x:c>
      <x:c r="H188" s="210" t="str">
        <x:f>IF($G188="","",$G188/'Data'!$O$2/'Data'!$O$3)</x:f>
      </x:c>
      <x:c r="I188" s="211"/>
      <x:c r="J188" s="209" t="str">
        <x:f>IF(OR($E188="",$I188=""),"",$I188*'Data'!$O$2*'Data'!$O$3)</x:f>
      </x:c>
      <x:c r="K188" s="212" t="str">
        <x:f>IF(OR($J188="",$G188=""),"",$J188/$G188)</x:f>
      </x:c>
      <x:c r="L188" s="213" t="str">
        <x:f>IF($K188="","",VLOOKUP($K188,'Data'!$I$2:$L$6,3,TRUE))</x:f>
      </x:c>
      <x:c r="M188" s="210" t="str">
        <x:f>IF($L188="","",$I188*$L188)</x:f>
      </x:c>
      <x:c r="N188" s="214" t="str">
        <x:f>IF($M188="","",ROUNDDOWN($I188+$M188,2))</x:f>
      </x:c>
      <x:c r="O188" s="210" t="str">
        <x:f>IF($N188="","",ROUNDDOWN(ROUNDDOWN($N188,2)*$R188,3))</x:f>
      </x:c>
      <x:c r="P188" s="215"/>
      <x:c r="Q188" s="222" t="str">
        <x:f>IF($E188="","",IF(OR(RIGHT(UPPER(TRIM(SUBSTITUTE(CLEAN($E188),CHAR(160)," "))),2)="P1",RIGHT(UPPER(TRIM(SUBSTITUTE(CLEAN($E188),CHAR(160)," "))),2)="P2",RIGHT(UPPER(TRIM(SUBSTITUTE(CLEAN($E188),CHAR(160)," "))),2)="P3",RIGHT(UPPER(TRIM(SUBSTITUTE(CLEAN($E188),CHAR(160)," "))),2)="P4",ISNUMBER(SEARCH("INDUSTRIAL HYGIENIST 1 ENVIRONMENT",UPPER(TRIM(SUBSTITUTE(CLEAN($E188),CHAR(160)," ")))))),"PS","GS"))</x:f>
      </x:c>
      <x:c r="R188" s="223" t="str">
        <x:f>IF($Q188="","",IF($Q188="PS",'Data'!$O$5,'Data'!$O$4))</x:f>
      </x:c>
      <x:c r="S188" s="224" t="str">
        <x:f>IF($E188="","",IFERROR(VLOOKUP($E188,'Data'!$A$2:$B$114,2,FALSE),""))</x:f>
      </x:c>
      <x:c r="T188" s="217" t="str">
        <x:f>IF($K188="","",VLOOKUP($K188,'Data'!$I$2:$L$6,2,TRUE))</x:f>
      </x:c>
      <x:c r="U188" s="217"/>
      <x:c r="V188" s="221" t="str">
        <x:f>IF($L188="","",$J188*$L188)</x:f>
      </x:c>
      <x:c r="W188" s="221" t="str">
        <x:f>IF($V188="","",$J188+$V188)</x:f>
      </x:c>
      <x:c r="X188" s="217" t="str">
        <x:f>IF($Y188="Ready","Review and inform supplier","")</x:f>
      </x:c>
      <x:c r="Y188" s="217" t="str">
        <x:f>IF(AND($B188="",$E188="",$I188=""),"",IF($B188="","Missing Assignment Number",IF($E188="","Select Job Title",IF($I188="","Enter Pay Rate",IF($S188="","Job Title not found","Ready")))))</x:f>
      </x:c>
    </x:row>
    <x:row r="189" ht="22" customHeight="1">
      <x:c r="A189" s="205"/>
      <x:c r="B189" s="205"/>
      <x:c r="C189" s="206"/>
      <x:c r="D189" s="205"/>
      <x:c r="E189" s="207"/>
      <x:c r="F189" s="208"/>
      <x:c r="G189" s="209" t="str">
        <x:f>IF($S189="","",IFERROR(VLOOKUP($S189,'Data'!$D$2:$G$14,3,FALSE),""))</x:f>
      </x:c>
      <x:c r="H189" s="210" t="str">
        <x:f>IF($G189="","",$G189/'Data'!$O$2/'Data'!$O$3)</x:f>
      </x:c>
      <x:c r="I189" s="211"/>
      <x:c r="J189" s="209" t="str">
        <x:f>IF(OR($E189="",$I189=""),"",$I189*'Data'!$O$2*'Data'!$O$3)</x:f>
      </x:c>
      <x:c r="K189" s="212" t="str">
        <x:f>IF(OR($J189="",$G189=""),"",$J189/$G189)</x:f>
      </x:c>
      <x:c r="L189" s="213" t="str">
        <x:f>IF($K189="","",VLOOKUP($K189,'Data'!$I$2:$L$6,3,TRUE))</x:f>
      </x:c>
      <x:c r="M189" s="210" t="str">
        <x:f>IF($L189="","",$I189*$L189)</x:f>
      </x:c>
      <x:c r="N189" s="214" t="str">
        <x:f>IF($M189="","",ROUNDDOWN($I189+$M189,2))</x:f>
      </x:c>
      <x:c r="O189" s="210" t="str">
        <x:f>IF($N189="","",ROUNDDOWN(ROUNDDOWN($N189,2)*$R189,3))</x:f>
      </x:c>
      <x:c r="P189" s="215"/>
      <x:c r="Q189" s="222" t="str">
        <x:f>IF($E189="","",IF(OR(RIGHT(UPPER(TRIM(SUBSTITUTE(CLEAN($E189),CHAR(160)," "))),2)="P1",RIGHT(UPPER(TRIM(SUBSTITUTE(CLEAN($E189),CHAR(160)," "))),2)="P2",RIGHT(UPPER(TRIM(SUBSTITUTE(CLEAN($E189),CHAR(160)," "))),2)="P3",RIGHT(UPPER(TRIM(SUBSTITUTE(CLEAN($E189),CHAR(160)," "))),2)="P4",ISNUMBER(SEARCH("INDUSTRIAL HYGIENIST 1 ENVIRONMENT",UPPER(TRIM(SUBSTITUTE(CLEAN($E189),CHAR(160)," ")))))),"PS","GS"))</x:f>
      </x:c>
      <x:c r="R189" s="223" t="str">
        <x:f>IF($Q189="","",IF($Q189="PS",'Data'!$O$5,'Data'!$O$4))</x:f>
      </x:c>
      <x:c r="S189" s="224" t="str">
        <x:f>IF($E189="","",IFERROR(VLOOKUP($E189,'Data'!$A$2:$B$114,2,FALSE),""))</x:f>
      </x:c>
      <x:c r="T189" s="217" t="str">
        <x:f>IF($K189="","",VLOOKUP($K189,'Data'!$I$2:$L$6,2,TRUE))</x:f>
      </x:c>
      <x:c r="U189" s="217"/>
      <x:c r="V189" s="221" t="str">
        <x:f>IF($L189="","",$J189*$L189)</x:f>
      </x:c>
      <x:c r="W189" s="221" t="str">
        <x:f>IF($V189="","",$J189+$V189)</x:f>
      </x:c>
      <x:c r="X189" s="217" t="str">
        <x:f>IF($Y189="Ready","Review and inform supplier","")</x:f>
      </x:c>
      <x:c r="Y189" s="217" t="str">
        <x:f>IF(AND($B189="",$E189="",$I189=""),"",IF($B189="","Missing Assignment Number",IF($E189="","Select Job Title",IF($I189="","Enter Pay Rate",IF($S189="","Job Title not found","Ready")))))</x:f>
      </x:c>
    </x:row>
    <x:row r="190" ht="22" customHeight="1">
      <x:c r="A190" s="205"/>
      <x:c r="B190" s="205"/>
      <x:c r="C190" s="206"/>
      <x:c r="D190" s="205"/>
      <x:c r="E190" s="207"/>
      <x:c r="F190" s="208"/>
      <x:c r="G190" s="209" t="str">
        <x:f>IF($S190="","",IFERROR(VLOOKUP($S190,'Data'!$D$2:$G$14,3,FALSE),""))</x:f>
      </x:c>
      <x:c r="H190" s="210" t="str">
        <x:f>IF($G190="","",$G190/'Data'!$O$2/'Data'!$O$3)</x:f>
      </x:c>
      <x:c r="I190" s="211"/>
      <x:c r="J190" s="209" t="str">
        <x:f>IF(OR($E190="",$I190=""),"",$I190*'Data'!$O$2*'Data'!$O$3)</x:f>
      </x:c>
      <x:c r="K190" s="212" t="str">
        <x:f>IF(OR($J190="",$G190=""),"",$J190/$G190)</x:f>
      </x:c>
      <x:c r="L190" s="213" t="str">
        <x:f>IF($K190="","",VLOOKUP($K190,'Data'!$I$2:$L$6,3,TRUE))</x:f>
      </x:c>
      <x:c r="M190" s="210" t="str">
        <x:f>IF($L190="","",$I190*$L190)</x:f>
      </x:c>
      <x:c r="N190" s="214" t="str">
        <x:f>IF($M190="","",ROUNDDOWN($I190+$M190,2))</x:f>
      </x:c>
      <x:c r="O190" s="210" t="str">
        <x:f>IF($N190="","",ROUNDDOWN(ROUNDDOWN($N190,2)*$R190,3))</x:f>
      </x:c>
      <x:c r="P190" s="215"/>
      <x:c r="Q190" s="222" t="str">
        <x:f>IF($E190="","",IF(OR(RIGHT(UPPER(TRIM(SUBSTITUTE(CLEAN($E190),CHAR(160)," "))),2)="P1",RIGHT(UPPER(TRIM(SUBSTITUTE(CLEAN($E190),CHAR(160)," "))),2)="P2",RIGHT(UPPER(TRIM(SUBSTITUTE(CLEAN($E190),CHAR(160)," "))),2)="P3",RIGHT(UPPER(TRIM(SUBSTITUTE(CLEAN($E190),CHAR(160)," "))),2)="P4",ISNUMBER(SEARCH("INDUSTRIAL HYGIENIST 1 ENVIRONMENT",UPPER(TRIM(SUBSTITUTE(CLEAN($E190),CHAR(160)," ")))))),"PS","GS"))</x:f>
      </x:c>
      <x:c r="R190" s="223" t="str">
        <x:f>IF($Q190="","",IF($Q190="PS",'Data'!$O$5,'Data'!$O$4))</x:f>
      </x:c>
      <x:c r="S190" s="224" t="str">
        <x:f>IF($E190="","",IFERROR(VLOOKUP($E190,'Data'!$A$2:$B$114,2,FALSE),""))</x:f>
      </x:c>
      <x:c r="T190" s="217" t="str">
        <x:f>IF($K190="","",VLOOKUP($K190,'Data'!$I$2:$L$6,2,TRUE))</x:f>
      </x:c>
      <x:c r="U190" s="217"/>
      <x:c r="V190" s="221" t="str">
        <x:f>IF($L190="","",$J190*$L190)</x:f>
      </x:c>
      <x:c r="W190" s="221" t="str">
        <x:f>IF($V190="","",$J190+$V190)</x:f>
      </x:c>
      <x:c r="X190" s="217" t="str">
        <x:f>IF($Y190="Ready","Review and inform supplier","")</x:f>
      </x:c>
      <x:c r="Y190" s="217" t="str">
        <x:f>IF(AND($B190="",$E190="",$I190=""),"",IF($B190="","Missing Assignment Number",IF($E190="","Select Job Title",IF($I190="","Enter Pay Rate",IF($S190="","Job Title not found","Ready")))))</x:f>
      </x:c>
    </x:row>
    <x:row r="191" ht="22" customHeight="1">
      <x:c r="A191" s="205"/>
      <x:c r="B191" s="205"/>
      <x:c r="C191" s="206"/>
      <x:c r="D191" s="205"/>
      <x:c r="E191" s="207"/>
      <x:c r="F191" s="208"/>
      <x:c r="G191" s="209" t="str">
        <x:f>IF($S191="","",IFERROR(VLOOKUP($S191,'Data'!$D$2:$G$14,3,FALSE),""))</x:f>
      </x:c>
      <x:c r="H191" s="210" t="str">
        <x:f>IF($G191="","",$G191/'Data'!$O$2/'Data'!$O$3)</x:f>
      </x:c>
      <x:c r="I191" s="211"/>
      <x:c r="J191" s="209" t="str">
        <x:f>IF(OR($E191="",$I191=""),"",$I191*'Data'!$O$2*'Data'!$O$3)</x:f>
      </x:c>
      <x:c r="K191" s="212" t="str">
        <x:f>IF(OR($J191="",$G191=""),"",$J191/$G191)</x:f>
      </x:c>
      <x:c r="L191" s="213" t="str">
        <x:f>IF($K191="","",VLOOKUP($K191,'Data'!$I$2:$L$6,3,TRUE))</x:f>
      </x:c>
      <x:c r="M191" s="210" t="str">
        <x:f>IF($L191="","",$I191*$L191)</x:f>
      </x:c>
      <x:c r="N191" s="214" t="str">
        <x:f>IF($M191="","",ROUNDDOWN($I191+$M191,2))</x:f>
      </x:c>
      <x:c r="O191" s="210" t="str">
        <x:f>IF($N191="","",ROUNDDOWN(ROUNDDOWN($N191,2)*$R191,3))</x:f>
      </x:c>
      <x:c r="P191" s="215"/>
      <x:c r="Q191" s="222" t="str">
        <x:f>IF($E191="","",IF(OR(RIGHT(UPPER(TRIM(SUBSTITUTE(CLEAN($E191),CHAR(160)," "))),2)="P1",RIGHT(UPPER(TRIM(SUBSTITUTE(CLEAN($E191),CHAR(160)," "))),2)="P2",RIGHT(UPPER(TRIM(SUBSTITUTE(CLEAN($E191),CHAR(160)," "))),2)="P3",RIGHT(UPPER(TRIM(SUBSTITUTE(CLEAN($E191),CHAR(160)," "))),2)="P4",ISNUMBER(SEARCH("INDUSTRIAL HYGIENIST 1 ENVIRONMENT",UPPER(TRIM(SUBSTITUTE(CLEAN($E191),CHAR(160)," ")))))),"PS","GS"))</x:f>
      </x:c>
      <x:c r="R191" s="223" t="str">
        <x:f>IF($Q191="","",IF($Q191="PS",'Data'!$O$5,'Data'!$O$4))</x:f>
      </x:c>
      <x:c r="S191" s="224" t="str">
        <x:f>IF($E191="","",IFERROR(VLOOKUP($E191,'Data'!$A$2:$B$114,2,FALSE),""))</x:f>
      </x:c>
      <x:c r="T191" s="217" t="str">
        <x:f>IF($K191="","",VLOOKUP($K191,'Data'!$I$2:$L$6,2,TRUE))</x:f>
      </x:c>
      <x:c r="U191" s="217"/>
      <x:c r="V191" s="221" t="str">
        <x:f>IF($L191="","",$J191*$L191)</x:f>
      </x:c>
      <x:c r="W191" s="221" t="str">
        <x:f>IF($V191="","",$J191+$V191)</x:f>
      </x:c>
      <x:c r="X191" s="217" t="str">
        <x:f>IF($Y191="Ready","Review and inform supplier","")</x:f>
      </x:c>
      <x:c r="Y191" s="217" t="str">
        <x:f>IF(AND($B191="",$E191="",$I191=""),"",IF($B191="","Missing Assignment Number",IF($E191="","Select Job Title",IF($I191="","Enter Pay Rate",IF($S191="","Job Title not found","Ready")))))</x:f>
      </x:c>
    </x:row>
    <x:row r="192" ht="22" customHeight="1">
      <x:c r="A192" s="205"/>
      <x:c r="B192" s="205"/>
      <x:c r="C192" s="206"/>
      <x:c r="D192" s="205"/>
      <x:c r="E192" s="207"/>
      <x:c r="F192" s="208"/>
      <x:c r="G192" s="209" t="str">
        <x:f>IF($S192="","",IFERROR(VLOOKUP($S192,'Data'!$D$2:$G$14,3,FALSE),""))</x:f>
      </x:c>
      <x:c r="H192" s="210" t="str">
        <x:f>IF($G192="","",$G192/'Data'!$O$2/'Data'!$O$3)</x:f>
      </x:c>
      <x:c r="I192" s="211"/>
      <x:c r="J192" s="209" t="str">
        <x:f>IF(OR($E192="",$I192=""),"",$I192*'Data'!$O$2*'Data'!$O$3)</x:f>
      </x:c>
      <x:c r="K192" s="212" t="str">
        <x:f>IF(OR($J192="",$G192=""),"",$J192/$G192)</x:f>
      </x:c>
      <x:c r="L192" s="213" t="str">
        <x:f>IF($K192="","",VLOOKUP($K192,'Data'!$I$2:$L$6,3,TRUE))</x:f>
      </x:c>
      <x:c r="M192" s="210" t="str">
        <x:f>IF($L192="","",$I192*$L192)</x:f>
      </x:c>
      <x:c r="N192" s="214" t="str">
        <x:f>IF($M192="","",ROUNDDOWN($I192+$M192,2))</x:f>
      </x:c>
      <x:c r="O192" s="210" t="str">
        <x:f>IF($N192="","",ROUNDDOWN(ROUNDDOWN($N192,2)*$R192,3))</x:f>
      </x:c>
      <x:c r="P192" s="215"/>
      <x:c r="Q192" s="222" t="str">
        <x:f>IF($E192="","",IF(OR(RIGHT(UPPER(TRIM(SUBSTITUTE(CLEAN($E192),CHAR(160)," "))),2)="P1",RIGHT(UPPER(TRIM(SUBSTITUTE(CLEAN($E192),CHAR(160)," "))),2)="P2",RIGHT(UPPER(TRIM(SUBSTITUTE(CLEAN($E192),CHAR(160)," "))),2)="P3",RIGHT(UPPER(TRIM(SUBSTITUTE(CLEAN($E192),CHAR(160)," "))),2)="P4",ISNUMBER(SEARCH("INDUSTRIAL HYGIENIST 1 ENVIRONMENT",UPPER(TRIM(SUBSTITUTE(CLEAN($E192),CHAR(160)," ")))))),"PS","GS"))</x:f>
      </x:c>
      <x:c r="R192" s="223" t="str">
        <x:f>IF($Q192="","",IF($Q192="PS",'Data'!$O$5,'Data'!$O$4))</x:f>
      </x:c>
      <x:c r="S192" s="224" t="str">
        <x:f>IF($E192="","",IFERROR(VLOOKUP($E192,'Data'!$A$2:$B$114,2,FALSE),""))</x:f>
      </x:c>
      <x:c r="T192" s="217" t="str">
        <x:f>IF($K192="","",VLOOKUP($K192,'Data'!$I$2:$L$6,2,TRUE))</x:f>
      </x:c>
      <x:c r="U192" s="217"/>
      <x:c r="V192" s="221" t="str">
        <x:f>IF($L192="","",$J192*$L192)</x:f>
      </x:c>
      <x:c r="W192" s="221" t="str">
        <x:f>IF($V192="","",$J192+$V192)</x:f>
      </x:c>
      <x:c r="X192" s="217" t="str">
        <x:f>IF($Y192="Ready","Review and inform supplier","")</x:f>
      </x:c>
      <x:c r="Y192" s="217" t="str">
        <x:f>IF(AND($B192="",$E192="",$I192=""),"",IF($B192="","Missing Assignment Number",IF($E192="","Select Job Title",IF($I192="","Enter Pay Rate",IF($S192="","Job Title not found","Ready")))))</x:f>
      </x:c>
    </x:row>
    <x:row r="193" ht="22" customHeight="1">
      <x:c r="A193" s="205"/>
      <x:c r="B193" s="205"/>
      <x:c r="C193" s="206"/>
      <x:c r="D193" s="205"/>
      <x:c r="E193" s="207"/>
      <x:c r="F193" s="208"/>
      <x:c r="G193" s="209" t="str">
        <x:f>IF($S193="","",IFERROR(VLOOKUP($S193,'Data'!$D$2:$G$14,3,FALSE),""))</x:f>
      </x:c>
      <x:c r="H193" s="210" t="str">
        <x:f>IF($G193="","",$G193/'Data'!$O$2/'Data'!$O$3)</x:f>
      </x:c>
      <x:c r="I193" s="211"/>
      <x:c r="J193" s="209" t="str">
        <x:f>IF(OR($E193="",$I193=""),"",$I193*'Data'!$O$2*'Data'!$O$3)</x:f>
      </x:c>
      <x:c r="K193" s="212" t="str">
        <x:f>IF(OR($J193="",$G193=""),"",$J193/$G193)</x:f>
      </x:c>
      <x:c r="L193" s="213" t="str">
        <x:f>IF($K193="","",VLOOKUP($K193,'Data'!$I$2:$L$6,3,TRUE))</x:f>
      </x:c>
      <x:c r="M193" s="210" t="str">
        <x:f>IF($L193="","",$I193*$L193)</x:f>
      </x:c>
      <x:c r="N193" s="214" t="str">
        <x:f>IF($M193="","",ROUNDDOWN($I193+$M193,2))</x:f>
      </x:c>
      <x:c r="O193" s="210" t="str">
        <x:f>IF($N193="","",ROUNDDOWN(ROUNDDOWN($N193,2)*$R193,3))</x:f>
      </x:c>
      <x:c r="P193" s="215"/>
      <x:c r="Q193" s="222" t="str">
        <x:f>IF($E193="","",IF(OR(RIGHT(UPPER(TRIM(SUBSTITUTE(CLEAN($E193),CHAR(160)," "))),2)="P1",RIGHT(UPPER(TRIM(SUBSTITUTE(CLEAN($E193),CHAR(160)," "))),2)="P2",RIGHT(UPPER(TRIM(SUBSTITUTE(CLEAN($E193),CHAR(160)," "))),2)="P3",RIGHT(UPPER(TRIM(SUBSTITUTE(CLEAN($E193),CHAR(160)," "))),2)="P4",ISNUMBER(SEARCH("INDUSTRIAL HYGIENIST 1 ENVIRONMENT",UPPER(TRIM(SUBSTITUTE(CLEAN($E193),CHAR(160)," ")))))),"PS","GS"))</x:f>
      </x:c>
      <x:c r="R193" s="223" t="str">
        <x:f>IF($Q193="","",IF($Q193="PS",'Data'!$O$5,'Data'!$O$4))</x:f>
      </x:c>
      <x:c r="S193" s="224" t="str">
        <x:f>IF($E193="","",IFERROR(VLOOKUP($E193,'Data'!$A$2:$B$114,2,FALSE),""))</x:f>
      </x:c>
      <x:c r="T193" s="217" t="str">
        <x:f>IF($K193="","",VLOOKUP($K193,'Data'!$I$2:$L$6,2,TRUE))</x:f>
      </x:c>
      <x:c r="U193" s="217"/>
      <x:c r="V193" s="221" t="str">
        <x:f>IF($L193="","",$J193*$L193)</x:f>
      </x:c>
      <x:c r="W193" s="221" t="str">
        <x:f>IF($V193="","",$J193+$V193)</x:f>
      </x:c>
      <x:c r="X193" s="217" t="str">
        <x:f>IF($Y193="Ready","Review and inform supplier","")</x:f>
      </x:c>
      <x:c r="Y193" s="217" t="str">
        <x:f>IF(AND($B193="",$E193="",$I193=""),"",IF($B193="","Missing Assignment Number",IF($E193="","Select Job Title",IF($I193="","Enter Pay Rate",IF($S193="","Job Title not found","Ready")))))</x:f>
      </x:c>
    </x:row>
    <x:row r="194" ht="22" customHeight="1">
      <x:c r="A194" s="205"/>
      <x:c r="B194" s="205"/>
      <x:c r="C194" s="206"/>
      <x:c r="D194" s="205"/>
      <x:c r="E194" s="207"/>
      <x:c r="F194" s="208"/>
      <x:c r="G194" s="209" t="str">
        <x:f>IF($S194="","",IFERROR(VLOOKUP($S194,'Data'!$D$2:$G$14,3,FALSE),""))</x:f>
      </x:c>
      <x:c r="H194" s="210" t="str">
        <x:f>IF($G194="","",$G194/'Data'!$O$2/'Data'!$O$3)</x:f>
      </x:c>
      <x:c r="I194" s="211"/>
      <x:c r="J194" s="209" t="str">
        <x:f>IF(OR($E194="",$I194=""),"",$I194*'Data'!$O$2*'Data'!$O$3)</x:f>
      </x:c>
      <x:c r="K194" s="212" t="str">
        <x:f>IF(OR($J194="",$G194=""),"",$J194/$G194)</x:f>
      </x:c>
      <x:c r="L194" s="213" t="str">
        <x:f>IF($K194="","",VLOOKUP($K194,'Data'!$I$2:$L$6,3,TRUE))</x:f>
      </x:c>
      <x:c r="M194" s="210" t="str">
        <x:f>IF($L194="","",$I194*$L194)</x:f>
      </x:c>
      <x:c r="N194" s="214" t="str">
        <x:f>IF($M194="","",ROUNDDOWN($I194+$M194,2))</x:f>
      </x:c>
      <x:c r="O194" s="210" t="str">
        <x:f>IF($N194="","",ROUNDDOWN(ROUNDDOWN($N194,2)*$R194,3))</x:f>
      </x:c>
      <x:c r="P194" s="215"/>
      <x:c r="Q194" s="222" t="str">
        <x:f>IF($E194="","",IF(OR(RIGHT(UPPER(TRIM(SUBSTITUTE(CLEAN($E194),CHAR(160)," "))),2)="P1",RIGHT(UPPER(TRIM(SUBSTITUTE(CLEAN($E194),CHAR(160)," "))),2)="P2",RIGHT(UPPER(TRIM(SUBSTITUTE(CLEAN($E194),CHAR(160)," "))),2)="P3",RIGHT(UPPER(TRIM(SUBSTITUTE(CLEAN($E194),CHAR(160)," "))),2)="P4",ISNUMBER(SEARCH("INDUSTRIAL HYGIENIST 1 ENVIRONMENT",UPPER(TRIM(SUBSTITUTE(CLEAN($E194),CHAR(160)," ")))))),"PS","GS"))</x:f>
      </x:c>
      <x:c r="R194" s="223" t="str">
        <x:f>IF($Q194="","",IF($Q194="PS",'Data'!$O$5,'Data'!$O$4))</x:f>
      </x:c>
      <x:c r="S194" s="224" t="str">
        <x:f>IF($E194="","",IFERROR(VLOOKUP($E194,'Data'!$A$2:$B$114,2,FALSE),""))</x:f>
      </x:c>
      <x:c r="T194" s="217" t="str">
        <x:f>IF($K194="","",VLOOKUP($K194,'Data'!$I$2:$L$6,2,TRUE))</x:f>
      </x:c>
      <x:c r="U194" s="217"/>
      <x:c r="V194" s="221" t="str">
        <x:f>IF($L194="","",$J194*$L194)</x:f>
      </x:c>
      <x:c r="W194" s="221" t="str">
        <x:f>IF($V194="","",$J194+$V194)</x:f>
      </x:c>
      <x:c r="X194" s="217" t="str">
        <x:f>IF($Y194="Ready","Review and inform supplier","")</x:f>
      </x:c>
      <x:c r="Y194" s="217" t="str">
        <x:f>IF(AND($B194="",$E194="",$I194=""),"",IF($B194="","Missing Assignment Number",IF($E194="","Select Job Title",IF($I194="","Enter Pay Rate",IF($S194="","Job Title not found","Ready")))))</x:f>
      </x:c>
    </x:row>
    <x:row r="195" ht="22" customHeight="1">
      <x:c r="A195" s="205"/>
      <x:c r="B195" s="205"/>
      <x:c r="C195" s="206"/>
      <x:c r="D195" s="205"/>
      <x:c r="E195" s="207"/>
      <x:c r="F195" s="208"/>
      <x:c r="G195" s="209" t="str">
        <x:f>IF($S195="","",IFERROR(VLOOKUP($S195,'Data'!$D$2:$G$14,3,FALSE),""))</x:f>
      </x:c>
      <x:c r="H195" s="210" t="str">
        <x:f>IF($G195="","",$G195/'Data'!$O$2/'Data'!$O$3)</x:f>
      </x:c>
      <x:c r="I195" s="211"/>
      <x:c r="J195" s="209" t="str">
        <x:f>IF(OR($E195="",$I195=""),"",$I195*'Data'!$O$2*'Data'!$O$3)</x:f>
      </x:c>
      <x:c r="K195" s="212" t="str">
        <x:f>IF(OR($J195="",$G195=""),"",$J195/$G195)</x:f>
      </x:c>
      <x:c r="L195" s="213" t="str">
        <x:f>IF($K195="","",VLOOKUP($K195,'Data'!$I$2:$L$6,3,TRUE))</x:f>
      </x:c>
      <x:c r="M195" s="210" t="str">
        <x:f>IF($L195="","",$I195*$L195)</x:f>
      </x:c>
      <x:c r="N195" s="214" t="str">
        <x:f>IF($M195="","",ROUNDDOWN($I195+$M195,2))</x:f>
      </x:c>
      <x:c r="O195" s="210" t="str">
        <x:f>IF($N195="","",ROUNDDOWN(ROUNDDOWN($N195,2)*$R195,3))</x:f>
      </x:c>
      <x:c r="P195" s="215"/>
      <x:c r="Q195" s="222" t="str">
        <x:f>IF($E195="","",IF(OR(RIGHT(UPPER(TRIM(SUBSTITUTE(CLEAN($E195),CHAR(160)," "))),2)="P1",RIGHT(UPPER(TRIM(SUBSTITUTE(CLEAN($E195),CHAR(160)," "))),2)="P2",RIGHT(UPPER(TRIM(SUBSTITUTE(CLEAN($E195),CHAR(160)," "))),2)="P3",RIGHT(UPPER(TRIM(SUBSTITUTE(CLEAN($E195),CHAR(160)," "))),2)="P4",ISNUMBER(SEARCH("INDUSTRIAL HYGIENIST 1 ENVIRONMENT",UPPER(TRIM(SUBSTITUTE(CLEAN($E195),CHAR(160)," ")))))),"PS","GS"))</x:f>
      </x:c>
      <x:c r="R195" s="223" t="str">
        <x:f>IF($Q195="","",IF($Q195="PS",'Data'!$O$5,'Data'!$O$4))</x:f>
      </x:c>
      <x:c r="S195" s="224" t="str">
        <x:f>IF($E195="","",IFERROR(VLOOKUP($E195,'Data'!$A$2:$B$114,2,FALSE),""))</x:f>
      </x:c>
      <x:c r="T195" s="217" t="str">
        <x:f>IF($K195="","",VLOOKUP($K195,'Data'!$I$2:$L$6,2,TRUE))</x:f>
      </x:c>
      <x:c r="U195" s="217"/>
      <x:c r="V195" s="221" t="str">
        <x:f>IF($L195="","",$J195*$L195)</x:f>
      </x:c>
      <x:c r="W195" s="221" t="str">
        <x:f>IF($V195="","",$J195+$V195)</x:f>
      </x:c>
      <x:c r="X195" s="217" t="str">
        <x:f>IF($Y195="Ready","Review and inform supplier","")</x:f>
      </x:c>
      <x:c r="Y195" s="217" t="str">
        <x:f>IF(AND($B195="",$E195="",$I195=""),"",IF($B195="","Missing Assignment Number",IF($E195="","Select Job Title",IF($I195="","Enter Pay Rate",IF($S195="","Job Title not found","Ready")))))</x:f>
      </x:c>
    </x:row>
    <x:row r="196" ht="22" customHeight="1">
      <x:c r="A196" s="205"/>
      <x:c r="B196" s="205"/>
      <x:c r="C196" s="206"/>
      <x:c r="D196" s="205"/>
      <x:c r="E196" s="207"/>
      <x:c r="F196" s="208"/>
      <x:c r="G196" s="209" t="str">
        <x:f>IF($S196="","",IFERROR(VLOOKUP($S196,'Data'!$D$2:$G$14,3,FALSE),""))</x:f>
      </x:c>
      <x:c r="H196" s="210" t="str">
        <x:f>IF($G196="","",$G196/'Data'!$O$2/'Data'!$O$3)</x:f>
      </x:c>
      <x:c r="I196" s="211"/>
      <x:c r="J196" s="209" t="str">
        <x:f>IF(OR($E196="",$I196=""),"",$I196*'Data'!$O$2*'Data'!$O$3)</x:f>
      </x:c>
      <x:c r="K196" s="212" t="str">
        <x:f>IF(OR($J196="",$G196=""),"",$J196/$G196)</x:f>
      </x:c>
      <x:c r="L196" s="213" t="str">
        <x:f>IF($K196="","",VLOOKUP($K196,'Data'!$I$2:$L$6,3,TRUE))</x:f>
      </x:c>
      <x:c r="M196" s="210" t="str">
        <x:f>IF($L196="","",$I196*$L196)</x:f>
      </x:c>
      <x:c r="N196" s="214" t="str">
        <x:f>IF($M196="","",ROUNDDOWN($I196+$M196,2))</x:f>
      </x:c>
      <x:c r="O196" s="210" t="str">
        <x:f>IF($N196="","",ROUNDDOWN(ROUNDDOWN($N196,2)*$R196,3))</x:f>
      </x:c>
      <x:c r="P196" s="215"/>
      <x:c r="Q196" s="222" t="str">
        <x:f>IF($E196="","",IF(OR(RIGHT(UPPER(TRIM(SUBSTITUTE(CLEAN($E196),CHAR(160)," "))),2)="P1",RIGHT(UPPER(TRIM(SUBSTITUTE(CLEAN($E196),CHAR(160)," "))),2)="P2",RIGHT(UPPER(TRIM(SUBSTITUTE(CLEAN($E196),CHAR(160)," "))),2)="P3",RIGHT(UPPER(TRIM(SUBSTITUTE(CLEAN($E196),CHAR(160)," "))),2)="P4",ISNUMBER(SEARCH("INDUSTRIAL HYGIENIST 1 ENVIRONMENT",UPPER(TRIM(SUBSTITUTE(CLEAN($E196),CHAR(160)," ")))))),"PS","GS"))</x:f>
      </x:c>
      <x:c r="R196" s="223" t="str">
        <x:f>IF($Q196="","",IF($Q196="PS",'Data'!$O$5,'Data'!$O$4))</x:f>
      </x:c>
      <x:c r="S196" s="224" t="str">
        <x:f>IF($E196="","",IFERROR(VLOOKUP($E196,'Data'!$A$2:$B$114,2,FALSE),""))</x:f>
      </x:c>
      <x:c r="T196" s="217" t="str">
        <x:f>IF($K196="","",VLOOKUP($K196,'Data'!$I$2:$L$6,2,TRUE))</x:f>
      </x:c>
      <x:c r="U196" s="217"/>
      <x:c r="V196" s="221" t="str">
        <x:f>IF($L196="","",$J196*$L196)</x:f>
      </x:c>
      <x:c r="W196" s="221" t="str">
        <x:f>IF($V196="","",$J196+$V196)</x:f>
      </x:c>
      <x:c r="X196" s="217" t="str">
        <x:f>IF($Y196="Ready","Review and inform supplier","")</x:f>
      </x:c>
      <x:c r="Y196" s="217" t="str">
        <x:f>IF(AND($B196="",$E196="",$I196=""),"",IF($B196="","Missing Assignment Number",IF($E196="","Select Job Title",IF($I196="","Enter Pay Rate",IF($S196="","Job Title not found","Ready")))))</x:f>
      </x:c>
    </x:row>
    <x:row r="197" ht="22" customHeight="1">
      <x:c r="A197" s="205"/>
      <x:c r="B197" s="205"/>
      <x:c r="C197" s="206"/>
      <x:c r="D197" s="205"/>
      <x:c r="E197" s="207"/>
      <x:c r="F197" s="208"/>
      <x:c r="G197" s="209" t="str">
        <x:f>IF($S197="","",IFERROR(VLOOKUP($S197,'Data'!$D$2:$G$14,3,FALSE),""))</x:f>
      </x:c>
      <x:c r="H197" s="210" t="str">
        <x:f>IF($G197="","",$G197/'Data'!$O$2/'Data'!$O$3)</x:f>
      </x:c>
      <x:c r="I197" s="211"/>
      <x:c r="J197" s="209" t="str">
        <x:f>IF(OR($E197="",$I197=""),"",$I197*'Data'!$O$2*'Data'!$O$3)</x:f>
      </x:c>
      <x:c r="K197" s="212" t="str">
        <x:f>IF(OR($J197="",$G197=""),"",$J197/$G197)</x:f>
      </x:c>
      <x:c r="L197" s="213" t="str">
        <x:f>IF($K197="","",VLOOKUP($K197,'Data'!$I$2:$L$6,3,TRUE))</x:f>
      </x:c>
      <x:c r="M197" s="210" t="str">
        <x:f>IF($L197="","",$I197*$L197)</x:f>
      </x:c>
      <x:c r="N197" s="214" t="str">
        <x:f>IF($M197="","",ROUNDDOWN($I197+$M197,2))</x:f>
      </x:c>
      <x:c r="O197" s="210" t="str">
        <x:f>IF($N197="","",ROUNDDOWN(ROUNDDOWN($N197,2)*$R197,3))</x:f>
      </x:c>
      <x:c r="P197" s="215"/>
      <x:c r="Q197" s="222" t="str">
        <x:f>IF($E197="","",IF(OR(RIGHT(UPPER(TRIM(SUBSTITUTE(CLEAN($E197),CHAR(160)," "))),2)="P1",RIGHT(UPPER(TRIM(SUBSTITUTE(CLEAN($E197),CHAR(160)," "))),2)="P2",RIGHT(UPPER(TRIM(SUBSTITUTE(CLEAN($E197),CHAR(160)," "))),2)="P3",RIGHT(UPPER(TRIM(SUBSTITUTE(CLEAN($E197),CHAR(160)," "))),2)="P4",ISNUMBER(SEARCH("INDUSTRIAL HYGIENIST 1 ENVIRONMENT",UPPER(TRIM(SUBSTITUTE(CLEAN($E197),CHAR(160)," ")))))),"PS","GS"))</x:f>
      </x:c>
      <x:c r="R197" s="223" t="str">
        <x:f>IF($Q197="","",IF($Q197="PS",'Data'!$O$5,'Data'!$O$4))</x:f>
      </x:c>
      <x:c r="S197" s="224" t="str">
        <x:f>IF($E197="","",IFERROR(VLOOKUP($E197,'Data'!$A$2:$B$114,2,FALSE),""))</x:f>
      </x:c>
      <x:c r="T197" s="217" t="str">
        <x:f>IF($K197="","",VLOOKUP($K197,'Data'!$I$2:$L$6,2,TRUE))</x:f>
      </x:c>
      <x:c r="U197" s="217"/>
      <x:c r="V197" s="221" t="str">
        <x:f>IF($L197="","",$J197*$L197)</x:f>
      </x:c>
      <x:c r="W197" s="221" t="str">
        <x:f>IF($V197="","",$J197+$V197)</x:f>
      </x:c>
      <x:c r="X197" s="217" t="str">
        <x:f>IF($Y197="Ready","Review and inform supplier","")</x:f>
      </x:c>
      <x:c r="Y197" s="217" t="str">
        <x:f>IF(AND($B197="",$E197="",$I197=""),"",IF($B197="","Missing Assignment Number",IF($E197="","Select Job Title",IF($I197="","Enter Pay Rate",IF($S197="","Job Title not found","Ready")))))</x:f>
      </x:c>
    </x:row>
    <x:row r="198" ht="22" customHeight="1">
      <x:c r="A198" s="205"/>
      <x:c r="B198" s="205"/>
      <x:c r="C198" s="206"/>
      <x:c r="D198" s="205"/>
      <x:c r="E198" s="207"/>
      <x:c r="F198" s="208"/>
      <x:c r="G198" s="209" t="str">
        <x:f>IF($S198="","",IFERROR(VLOOKUP($S198,'Data'!$D$2:$G$14,3,FALSE),""))</x:f>
      </x:c>
      <x:c r="H198" s="210" t="str">
        <x:f>IF($G198="","",$G198/'Data'!$O$2/'Data'!$O$3)</x:f>
      </x:c>
      <x:c r="I198" s="211"/>
      <x:c r="J198" s="209" t="str">
        <x:f>IF(OR($E198="",$I198=""),"",$I198*'Data'!$O$2*'Data'!$O$3)</x:f>
      </x:c>
      <x:c r="K198" s="212" t="str">
        <x:f>IF(OR($J198="",$G198=""),"",$J198/$G198)</x:f>
      </x:c>
      <x:c r="L198" s="213" t="str">
        <x:f>IF($K198="","",VLOOKUP($K198,'Data'!$I$2:$L$6,3,TRUE))</x:f>
      </x:c>
      <x:c r="M198" s="210" t="str">
        <x:f>IF($L198="","",$I198*$L198)</x:f>
      </x:c>
      <x:c r="N198" s="214" t="str">
        <x:f>IF($M198="","",ROUNDDOWN($I198+$M198,2))</x:f>
      </x:c>
      <x:c r="O198" s="210" t="str">
        <x:f>IF($N198="","",ROUNDDOWN(ROUNDDOWN($N198,2)*$R198,3))</x:f>
      </x:c>
      <x:c r="P198" s="215"/>
      <x:c r="Q198" s="222" t="str">
        <x:f>IF($E198="","",IF(OR(RIGHT(UPPER(TRIM(SUBSTITUTE(CLEAN($E198),CHAR(160)," "))),2)="P1",RIGHT(UPPER(TRIM(SUBSTITUTE(CLEAN($E198),CHAR(160)," "))),2)="P2",RIGHT(UPPER(TRIM(SUBSTITUTE(CLEAN($E198),CHAR(160)," "))),2)="P3",RIGHT(UPPER(TRIM(SUBSTITUTE(CLEAN($E198),CHAR(160)," "))),2)="P4",ISNUMBER(SEARCH("INDUSTRIAL HYGIENIST 1 ENVIRONMENT",UPPER(TRIM(SUBSTITUTE(CLEAN($E198),CHAR(160)," ")))))),"PS","GS"))</x:f>
      </x:c>
      <x:c r="R198" s="223" t="str">
        <x:f>IF($Q198="","",IF($Q198="PS",'Data'!$O$5,'Data'!$O$4))</x:f>
      </x:c>
      <x:c r="S198" s="224" t="str">
        <x:f>IF($E198="","",IFERROR(VLOOKUP($E198,'Data'!$A$2:$B$114,2,FALSE),""))</x:f>
      </x:c>
      <x:c r="T198" s="217" t="str">
        <x:f>IF($K198="","",VLOOKUP($K198,'Data'!$I$2:$L$6,2,TRUE))</x:f>
      </x:c>
      <x:c r="U198" s="217"/>
      <x:c r="V198" s="221" t="str">
        <x:f>IF($L198="","",$J198*$L198)</x:f>
      </x:c>
      <x:c r="W198" s="221" t="str">
        <x:f>IF($V198="","",$J198+$V198)</x:f>
      </x:c>
      <x:c r="X198" s="217" t="str">
        <x:f>IF($Y198="Ready","Review and inform supplier","")</x:f>
      </x:c>
      <x:c r="Y198" s="217" t="str">
        <x:f>IF(AND($B198="",$E198="",$I198=""),"",IF($B198="","Missing Assignment Number",IF($E198="","Select Job Title",IF($I198="","Enter Pay Rate",IF($S198="","Job Title not found","Ready")))))</x:f>
      </x:c>
    </x:row>
    <x:row r="199" ht="22" customHeight="1">
      <x:c r="A199" s="205"/>
      <x:c r="B199" s="205"/>
      <x:c r="C199" s="206"/>
      <x:c r="D199" s="205"/>
      <x:c r="E199" s="207"/>
      <x:c r="F199" s="208"/>
      <x:c r="G199" s="209" t="str">
        <x:f>IF($S199="","",IFERROR(VLOOKUP($S199,'Data'!$D$2:$G$14,3,FALSE),""))</x:f>
      </x:c>
      <x:c r="H199" s="210" t="str">
        <x:f>IF($G199="","",$G199/'Data'!$O$2/'Data'!$O$3)</x:f>
      </x:c>
      <x:c r="I199" s="211"/>
      <x:c r="J199" s="209" t="str">
        <x:f>IF(OR($E199="",$I199=""),"",$I199*'Data'!$O$2*'Data'!$O$3)</x:f>
      </x:c>
      <x:c r="K199" s="212" t="str">
        <x:f>IF(OR($J199="",$G199=""),"",$J199/$G199)</x:f>
      </x:c>
      <x:c r="L199" s="213" t="str">
        <x:f>IF($K199="","",VLOOKUP($K199,'Data'!$I$2:$L$6,3,TRUE))</x:f>
      </x:c>
      <x:c r="M199" s="210" t="str">
        <x:f>IF($L199="","",$I199*$L199)</x:f>
      </x:c>
      <x:c r="N199" s="214" t="str">
        <x:f>IF($M199="","",ROUNDDOWN($I199+$M199,2))</x:f>
      </x:c>
      <x:c r="O199" s="210" t="str">
        <x:f>IF($N199="","",ROUNDDOWN(ROUNDDOWN($N199,2)*$R199,3))</x:f>
      </x:c>
      <x:c r="P199" s="215"/>
      <x:c r="Q199" s="222" t="str">
        <x:f>IF($E199="","",IF(OR(RIGHT(UPPER(TRIM(SUBSTITUTE(CLEAN($E199),CHAR(160)," "))),2)="P1",RIGHT(UPPER(TRIM(SUBSTITUTE(CLEAN($E199),CHAR(160)," "))),2)="P2",RIGHT(UPPER(TRIM(SUBSTITUTE(CLEAN($E199),CHAR(160)," "))),2)="P3",RIGHT(UPPER(TRIM(SUBSTITUTE(CLEAN($E199),CHAR(160)," "))),2)="P4",ISNUMBER(SEARCH("INDUSTRIAL HYGIENIST 1 ENVIRONMENT",UPPER(TRIM(SUBSTITUTE(CLEAN($E199),CHAR(160)," ")))))),"PS","GS"))</x:f>
      </x:c>
      <x:c r="R199" s="223" t="str">
        <x:f>IF($Q199="","",IF($Q199="PS",'Data'!$O$5,'Data'!$O$4))</x:f>
      </x:c>
      <x:c r="S199" s="224" t="str">
        <x:f>IF($E199="","",IFERROR(VLOOKUP($E199,'Data'!$A$2:$B$114,2,FALSE),""))</x:f>
      </x:c>
      <x:c r="T199" s="217" t="str">
        <x:f>IF($K199="","",VLOOKUP($K199,'Data'!$I$2:$L$6,2,TRUE))</x:f>
      </x:c>
      <x:c r="U199" s="217"/>
      <x:c r="V199" s="221" t="str">
        <x:f>IF($L199="","",$J199*$L199)</x:f>
      </x:c>
      <x:c r="W199" s="221" t="str">
        <x:f>IF($V199="","",$J199+$V199)</x:f>
      </x:c>
      <x:c r="X199" s="217" t="str">
        <x:f>IF($Y199="Ready","Review and inform supplier","")</x:f>
      </x:c>
      <x:c r="Y199" s="217" t="str">
        <x:f>IF(AND($B199="",$E199="",$I199=""),"",IF($B199="","Missing Assignment Number",IF($E199="","Select Job Title",IF($I199="","Enter Pay Rate",IF($S199="","Job Title not found","Ready")))))</x:f>
      </x:c>
    </x:row>
    <x:row r="200" ht="22" customHeight="1">
      <x:c r="A200" s="205"/>
      <x:c r="B200" s="205"/>
      <x:c r="C200" s="206"/>
      <x:c r="D200" s="205"/>
      <x:c r="E200" s="207"/>
      <x:c r="F200" s="208"/>
      <x:c r="G200" s="209" t="str">
        <x:f>IF($S200="","",IFERROR(VLOOKUP($S200,'Data'!$D$2:$G$14,3,FALSE),""))</x:f>
      </x:c>
      <x:c r="H200" s="210" t="str">
        <x:f>IF($G200="","",$G200/'Data'!$O$2/'Data'!$O$3)</x:f>
      </x:c>
      <x:c r="I200" s="211"/>
      <x:c r="J200" s="209" t="str">
        <x:f>IF(OR($E200="",$I200=""),"",$I200*'Data'!$O$2*'Data'!$O$3)</x:f>
      </x:c>
      <x:c r="K200" s="212" t="str">
        <x:f>IF(OR($J200="",$G200=""),"",$J200/$G200)</x:f>
      </x:c>
      <x:c r="L200" s="213" t="str">
        <x:f>IF($K200="","",VLOOKUP($K200,'Data'!$I$2:$L$6,3,TRUE))</x:f>
      </x:c>
      <x:c r="M200" s="210" t="str">
        <x:f>IF($L200="","",$I200*$L200)</x:f>
      </x:c>
      <x:c r="N200" s="214" t="str">
        <x:f>IF($M200="","",ROUNDDOWN($I200+$M200,2))</x:f>
      </x:c>
      <x:c r="O200" s="210" t="str">
        <x:f>IF($N200="","",ROUNDDOWN(ROUNDDOWN($N200,2)*$R200,3))</x:f>
      </x:c>
      <x:c r="P200" s="215"/>
      <x:c r="Q200" s="222" t="str">
        <x:f>IF($E200="","",IF(OR(RIGHT(UPPER(TRIM(SUBSTITUTE(CLEAN($E200),CHAR(160)," "))),2)="P1",RIGHT(UPPER(TRIM(SUBSTITUTE(CLEAN($E200),CHAR(160)," "))),2)="P2",RIGHT(UPPER(TRIM(SUBSTITUTE(CLEAN($E200),CHAR(160)," "))),2)="P3",RIGHT(UPPER(TRIM(SUBSTITUTE(CLEAN($E200),CHAR(160)," "))),2)="P4",ISNUMBER(SEARCH("INDUSTRIAL HYGIENIST 1 ENVIRONMENT",UPPER(TRIM(SUBSTITUTE(CLEAN($E200),CHAR(160)," ")))))),"PS","GS"))</x:f>
      </x:c>
      <x:c r="R200" s="223" t="str">
        <x:f>IF($Q200="","",IF($Q200="PS",'Data'!$O$5,'Data'!$O$4))</x:f>
      </x:c>
      <x:c r="S200" s="224" t="str">
        <x:f>IF($E200="","",IFERROR(VLOOKUP($E200,'Data'!$A$2:$B$114,2,FALSE),""))</x:f>
      </x:c>
      <x:c r="T200" s="217" t="str">
        <x:f>IF($K200="","",VLOOKUP($K200,'Data'!$I$2:$L$6,2,TRUE))</x:f>
      </x:c>
      <x:c r="U200" s="217"/>
      <x:c r="V200" s="221" t="str">
        <x:f>IF($L200="","",$J200*$L200)</x:f>
      </x:c>
      <x:c r="W200" s="221" t="str">
        <x:f>IF($V200="","",$J200+$V200)</x:f>
      </x:c>
      <x:c r="X200" s="217" t="str">
        <x:f>IF($Y200="Ready","Review and inform supplier","")</x:f>
      </x:c>
      <x:c r="Y200" s="217" t="str">
        <x:f>IF(AND($B200="",$E200="",$I200=""),"",IF($B200="","Missing Assignment Number",IF($E200="","Select Job Title",IF($I200="","Enter Pay Rate",IF($S200="","Job Title not found","Ready")))))</x:f>
      </x:c>
    </x:row>
    <x:row r="201" ht="22" customHeight="1">
      <x:c r="A201" s="205"/>
      <x:c r="B201" s="205"/>
      <x:c r="C201" s="206"/>
      <x:c r="D201" s="205"/>
      <x:c r="E201" s="207"/>
      <x:c r="F201" s="208"/>
      <x:c r="G201" s="209" t="str">
        <x:f>IF($S201="","",IFERROR(VLOOKUP($S201,'Data'!$D$2:$G$14,3,FALSE),""))</x:f>
      </x:c>
      <x:c r="H201" s="210" t="str">
        <x:f>IF($G201="","",$G201/'Data'!$O$2/'Data'!$O$3)</x:f>
      </x:c>
      <x:c r="I201" s="211"/>
      <x:c r="J201" s="209" t="str">
        <x:f>IF(OR($E201="",$I201=""),"",$I201*'Data'!$O$2*'Data'!$O$3)</x:f>
      </x:c>
      <x:c r="K201" s="212" t="str">
        <x:f>IF(OR($J201="",$G201=""),"",$J201/$G201)</x:f>
      </x:c>
      <x:c r="L201" s="213" t="str">
        <x:f>IF($K201="","",VLOOKUP($K201,'Data'!$I$2:$L$6,3,TRUE))</x:f>
      </x:c>
      <x:c r="M201" s="210" t="str">
        <x:f>IF($L201="","",$I201*$L201)</x:f>
      </x:c>
      <x:c r="N201" s="214" t="str">
        <x:f>IF($M201="","",ROUNDDOWN($I201+$M201,2))</x:f>
      </x:c>
      <x:c r="O201" s="210" t="str">
        <x:f>IF($N201="","",ROUNDDOWN(ROUNDDOWN($N201,2)*$R201,3))</x:f>
      </x:c>
      <x:c r="P201" s="215"/>
      <x:c r="Q201" s="222" t="str">
        <x:f>IF($E201="","",IF(OR(RIGHT(UPPER(TRIM(SUBSTITUTE(CLEAN($E201),CHAR(160)," "))),2)="P1",RIGHT(UPPER(TRIM(SUBSTITUTE(CLEAN($E201),CHAR(160)," "))),2)="P2",RIGHT(UPPER(TRIM(SUBSTITUTE(CLEAN($E201),CHAR(160)," "))),2)="P3",RIGHT(UPPER(TRIM(SUBSTITUTE(CLEAN($E201),CHAR(160)," "))),2)="P4",ISNUMBER(SEARCH("INDUSTRIAL HYGIENIST 1 ENVIRONMENT",UPPER(TRIM(SUBSTITUTE(CLEAN($E201),CHAR(160)," ")))))),"PS","GS"))</x:f>
      </x:c>
      <x:c r="R201" s="223" t="str">
        <x:f>IF($Q201="","",IF($Q201="PS",'Data'!$O$5,'Data'!$O$4))</x:f>
      </x:c>
      <x:c r="S201" s="224" t="str">
        <x:f>IF($E201="","",IFERROR(VLOOKUP($E201,'Data'!$A$2:$B$114,2,FALSE),""))</x:f>
      </x:c>
      <x:c r="T201" s="217" t="str">
        <x:f>IF($K201="","",VLOOKUP($K201,'Data'!$I$2:$L$6,2,TRUE))</x:f>
      </x:c>
      <x:c r="U201" s="217"/>
      <x:c r="V201" s="221" t="str">
        <x:f>IF($L201="","",$J201*$L201)</x:f>
      </x:c>
      <x:c r="W201" s="221" t="str">
        <x:f>IF($V201="","",$J201+$V201)</x:f>
      </x:c>
      <x:c r="X201" s="217" t="str">
        <x:f>IF($Y201="Ready","Review and inform supplier","")</x:f>
      </x:c>
      <x:c r="Y201" s="217" t="str">
        <x:f>IF(AND($B201="",$E201="",$I201=""),"",IF($B201="","Missing Assignment Number",IF($E201="","Select Job Title",IF($I201="","Enter Pay Rate",IF($S201="","Job Title not found","Ready")))))</x:f>
      </x:c>
    </x:row>
    <x:row r="202" ht="22" customHeight="1">
      <x:c r="A202" s="205"/>
      <x:c r="B202" s="205"/>
      <x:c r="C202" s="206"/>
      <x:c r="D202" s="205"/>
      <x:c r="E202" s="207"/>
      <x:c r="F202" s="208"/>
      <x:c r="G202" s="209" t="str">
        <x:f>IF($S202="","",IFERROR(VLOOKUP($S202,'Data'!$D$2:$G$14,3,FALSE),""))</x:f>
      </x:c>
      <x:c r="H202" s="210" t="str">
        <x:f>IF($G202="","",$G202/'Data'!$O$2/'Data'!$O$3)</x:f>
      </x:c>
      <x:c r="I202" s="211"/>
      <x:c r="J202" s="209" t="str">
        <x:f>IF(OR($E202="",$I202=""),"",$I202*'Data'!$O$2*'Data'!$O$3)</x:f>
      </x:c>
      <x:c r="K202" s="212" t="str">
        <x:f>IF(OR($J202="",$G202=""),"",$J202/$G202)</x:f>
      </x:c>
      <x:c r="L202" s="213" t="str">
        <x:f>IF($K202="","",VLOOKUP($K202,'Data'!$I$2:$L$6,3,TRUE))</x:f>
      </x:c>
      <x:c r="M202" s="210" t="str">
        <x:f>IF($L202="","",$I202*$L202)</x:f>
      </x:c>
      <x:c r="N202" s="214" t="str">
        <x:f>IF($M202="","",ROUNDDOWN($I202+$M202,2))</x:f>
      </x:c>
      <x:c r="O202" s="210" t="str">
        <x:f>IF($N202="","",ROUNDDOWN(ROUNDDOWN($N202,2)*$R202,3))</x:f>
      </x:c>
      <x:c r="P202" s="215"/>
      <x:c r="Q202" s="222" t="str">
        <x:f>IF($E202="","",IF(OR(RIGHT(UPPER(TRIM(SUBSTITUTE(CLEAN($E202),CHAR(160)," "))),2)="P1",RIGHT(UPPER(TRIM(SUBSTITUTE(CLEAN($E202),CHAR(160)," "))),2)="P2",RIGHT(UPPER(TRIM(SUBSTITUTE(CLEAN($E202),CHAR(160)," "))),2)="P3",RIGHT(UPPER(TRIM(SUBSTITUTE(CLEAN($E202),CHAR(160)," "))),2)="P4",ISNUMBER(SEARCH("INDUSTRIAL HYGIENIST 1 ENVIRONMENT",UPPER(TRIM(SUBSTITUTE(CLEAN($E202),CHAR(160)," ")))))),"PS","GS"))</x:f>
      </x:c>
      <x:c r="R202" s="223" t="str">
        <x:f>IF($Q202="","",IF($Q202="PS",'Data'!$O$5,'Data'!$O$4))</x:f>
      </x:c>
      <x:c r="S202" s="224" t="str">
        <x:f>IF($E202="","",IFERROR(VLOOKUP($E202,'Data'!$A$2:$B$114,2,FALSE),""))</x:f>
      </x:c>
      <x:c r="T202" s="217" t="str">
        <x:f>IF($K202="","",VLOOKUP($K202,'Data'!$I$2:$L$6,2,TRUE))</x:f>
      </x:c>
      <x:c r="U202" s="217"/>
      <x:c r="V202" s="221" t="str">
        <x:f>IF($L202="","",$J202*$L202)</x:f>
      </x:c>
      <x:c r="W202" s="221" t="str">
        <x:f>IF($V202="","",$J202+$V202)</x:f>
      </x:c>
      <x:c r="X202" s="217" t="str">
        <x:f>IF($Y202="Ready","Review and inform supplier","")</x:f>
      </x:c>
      <x:c r="Y202" s="217" t="str">
        <x:f>IF(AND($B202="",$E202="",$I202=""),"",IF($B202="","Missing Assignment Number",IF($E202="","Select Job Title",IF($I202="","Enter Pay Rate",IF($S202="","Job Title not found","Ready")))))</x:f>
      </x:c>
    </x:row>
    <x:row r="203" ht="22" customHeight="1">
      <x:c r="A203" s="205"/>
      <x:c r="B203" s="205"/>
      <x:c r="C203" s="206"/>
      <x:c r="D203" s="205"/>
      <x:c r="E203" s="207"/>
      <x:c r="F203" s="208"/>
      <x:c r="G203" s="209" t="str">
        <x:f>IF($S203="","",IFERROR(VLOOKUP($S203,'Data'!$D$2:$G$14,3,FALSE),""))</x:f>
      </x:c>
      <x:c r="H203" s="210" t="str">
        <x:f>IF($G203="","",$G203/'Data'!$O$2/'Data'!$O$3)</x:f>
      </x:c>
      <x:c r="I203" s="211"/>
      <x:c r="J203" s="209" t="str">
        <x:f>IF(OR($E203="",$I203=""),"",$I203*'Data'!$O$2*'Data'!$O$3)</x:f>
      </x:c>
      <x:c r="K203" s="212" t="str">
        <x:f>IF(OR($J203="",$G203=""),"",$J203/$G203)</x:f>
      </x:c>
      <x:c r="L203" s="213" t="str">
        <x:f>IF($K203="","",VLOOKUP($K203,'Data'!$I$2:$L$6,3,TRUE))</x:f>
      </x:c>
      <x:c r="M203" s="210" t="str">
        <x:f>IF($L203="","",$I203*$L203)</x:f>
      </x:c>
      <x:c r="N203" s="214" t="str">
        <x:f>IF($M203="","",ROUNDDOWN($I203+$M203,2))</x:f>
      </x:c>
      <x:c r="O203" s="210" t="str">
        <x:f>IF($N203="","",ROUNDDOWN(ROUNDDOWN($N203,2)*$R203,3))</x:f>
      </x:c>
      <x:c r="P203" s="215"/>
      <x:c r="Q203" s="222" t="str">
        <x:f>IF($E203="","",IF(OR(RIGHT(UPPER(TRIM(SUBSTITUTE(CLEAN($E203),CHAR(160)," "))),2)="P1",RIGHT(UPPER(TRIM(SUBSTITUTE(CLEAN($E203),CHAR(160)," "))),2)="P2",RIGHT(UPPER(TRIM(SUBSTITUTE(CLEAN($E203),CHAR(160)," "))),2)="P3",RIGHT(UPPER(TRIM(SUBSTITUTE(CLEAN($E203),CHAR(160)," "))),2)="P4",ISNUMBER(SEARCH("INDUSTRIAL HYGIENIST 1 ENVIRONMENT",UPPER(TRIM(SUBSTITUTE(CLEAN($E203),CHAR(160)," ")))))),"PS","GS"))</x:f>
      </x:c>
      <x:c r="R203" s="223" t="str">
        <x:f>IF($Q203="","",IF($Q203="PS",'Data'!$O$5,'Data'!$O$4))</x:f>
      </x:c>
      <x:c r="S203" s="224" t="str">
        <x:f>IF($E203="","",IFERROR(VLOOKUP($E203,'Data'!$A$2:$B$114,2,FALSE),""))</x:f>
      </x:c>
      <x:c r="T203" s="217" t="str">
        <x:f>IF($K203="","",VLOOKUP($K203,'Data'!$I$2:$L$6,2,TRUE))</x:f>
      </x:c>
      <x:c r="U203" s="217"/>
      <x:c r="V203" s="221" t="str">
        <x:f>IF($L203="","",$J203*$L203)</x:f>
      </x:c>
      <x:c r="W203" s="221" t="str">
        <x:f>IF($V203="","",$J203+$V203)</x:f>
      </x:c>
      <x:c r="X203" s="217" t="str">
        <x:f>IF($Y203="Ready","Review and inform supplier","")</x:f>
      </x:c>
      <x:c r="Y203" s="217" t="str">
        <x:f>IF(AND($B203="",$E203="",$I203=""),"",IF($B203="","Missing Assignment Number",IF($E203="","Select Job Title",IF($I203="","Enter Pay Rate",IF($S203="","Job Title not found","Ready")))))</x:f>
      </x:c>
    </x:row>
    <x:row r="204" ht="22" customHeight="1">
      <x:c r="A204" s="205"/>
      <x:c r="B204" s="205"/>
      <x:c r="C204" s="206"/>
      <x:c r="D204" s="205"/>
      <x:c r="E204" s="207"/>
      <x:c r="F204" s="208"/>
      <x:c r="G204" s="209" t="str">
        <x:f>IF($S204="","",IFERROR(VLOOKUP($S204,'Data'!$D$2:$G$14,3,FALSE),""))</x:f>
      </x:c>
      <x:c r="H204" s="210" t="str">
        <x:f>IF($G204="","",$G204/'Data'!$O$2/'Data'!$O$3)</x:f>
      </x:c>
      <x:c r="I204" s="211"/>
      <x:c r="J204" s="209" t="str">
        <x:f>IF(OR($E204="",$I204=""),"",$I204*'Data'!$O$2*'Data'!$O$3)</x:f>
      </x:c>
      <x:c r="K204" s="212" t="str">
        <x:f>IF(OR($J204="",$G204=""),"",$J204/$G204)</x:f>
      </x:c>
      <x:c r="L204" s="213" t="str">
        <x:f>IF($K204="","",VLOOKUP($K204,'Data'!$I$2:$L$6,3,TRUE))</x:f>
      </x:c>
      <x:c r="M204" s="210" t="str">
        <x:f>IF($L204="","",$I204*$L204)</x:f>
      </x:c>
      <x:c r="N204" s="214" t="str">
        <x:f>IF($M204="","",ROUNDDOWN($I204+$M204,2))</x:f>
      </x:c>
      <x:c r="O204" s="210" t="str">
        <x:f>IF($N204="","",ROUNDDOWN(ROUNDDOWN($N204,2)*$R204,3))</x:f>
      </x:c>
      <x:c r="P204" s="215"/>
      <x:c r="Q204" s="222" t="str">
        <x:f>IF($E204="","",IF(OR(RIGHT(UPPER(TRIM(SUBSTITUTE(CLEAN($E204),CHAR(160)," "))),2)="P1",RIGHT(UPPER(TRIM(SUBSTITUTE(CLEAN($E204),CHAR(160)," "))),2)="P2",RIGHT(UPPER(TRIM(SUBSTITUTE(CLEAN($E204),CHAR(160)," "))),2)="P3",RIGHT(UPPER(TRIM(SUBSTITUTE(CLEAN($E204),CHAR(160)," "))),2)="P4",ISNUMBER(SEARCH("INDUSTRIAL HYGIENIST 1 ENVIRONMENT",UPPER(TRIM(SUBSTITUTE(CLEAN($E204),CHAR(160)," ")))))),"PS","GS"))</x:f>
      </x:c>
      <x:c r="R204" s="223" t="str">
        <x:f>IF($Q204="","",IF($Q204="PS",'Data'!$O$5,'Data'!$O$4))</x:f>
      </x:c>
      <x:c r="S204" s="224" t="str">
        <x:f>IF($E204="","",IFERROR(VLOOKUP($E204,'Data'!$A$2:$B$114,2,FALSE),""))</x:f>
      </x:c>
      <x:c r="T204" s="217" t="str">
        <x:f>IF($K204="","",VLOOKUP($K204,'Data'!$I$2:$L$6,2,TRUE))</x:f>
      </x:c>
      <x:c r="U204" s="217"/>
      <x:c r="V204" s="221" t="str">
        <x:f>IF($L204="","",$J204*$L204)</x:f>
      </x:c>
      <x:c r="W204" s="221" t="str">
        <x:f>IF($V204="","",$J204+$V204)</x:f>
      </x:c>
      <x:c r="X204" s="217" t="str">
        <x:f>IF($Y204="Ready","Review and inform supplier","")</x:f>
      </x:c>
      <x:c r="Y204" s="217" t="str">
        <x:f>IF(AND($B204="",$E204="",$I204=""),"",IF($B204="","Missing Assignment Number",IF($E204="","Select Job Title",IF($I204="","Enter Pay Rate",IF($S204="","Job Title not found","Ready")))))</x:f>
      </x:c>
    </x:row>
    <x:row r="205" ht="22" customHeight="1">
      <x:c r="A205" s="205"/>
      <x:c r="B205" s="205"/>
      <x:c r="C205" s="206"/>
      <x:c r="D205" s="205"/>
      <x:c r="E205" s="207"/>
      <x:c r="F205" s="208"/>
      <x:c r="G205" s="209" t="str">
        <x:f>IF($S205="","",IFERROR(VLOOKUP($S205,'Data'!$D$2:$G$14,3,FALSE),""))</x:f>
      </x:c>
      <x:c r="H205" s="210" t="str">
        <x:f>IF($G205="","",$G205/'Data'!$O$2/'Data'!$O$3)</x:f>
      </x:c>
      <x:c r="I205" s="211"/>
      <x:c r="J205" s="209" t="str">
        <x:f>IF(OR($E205="",$I205=""),"",$I205*'Data'!$O$2*'Data'!$O$3)</x:f>
      </x:c>
      <x:c r="K205" s="212" t="str">
        <x:f>IF(OR($J205="",$G205=""),"",$J205/$G205)</x:f>
      </x:c>
      <x:c r="L205" s="213" t="str">
        <x:f>IF($K205="","",VLOOKUP($K205,'Data'!$I$2:$L$6,3,TRUE))</x:f>
      </x:c>
      <x:c r="M205" s="210" t="str">
        <x:f>IF($L205="","",$I205*$L205)</x:f>
      </x:c>
      <x:c r="N205" s="214" t="str">
        <x:f>IF($M205="","",ROUNDDOWN($I205+$M205,2))</x:f>
      </x:c>
      <x:c r="O205" s="210" t="str">
        <x:f>IF($N205="","",ROUNDDOWN(ROUNDDOWN($N205,2)*$R205,3))</x:f>
      </x:c>
      <x:c r="P205" s="215"/>
      <x:c r="Q205" s="222" t="str">
        <x:f>IF($E205="","",IF(OR(RIGHT(UPPER(TRIM(SUBSTITUTE(CLEAN($E205),CHAR(160)," "))),2)="P1",RIGHT(UPPER(TRIM(SUBSTITUTE(CLEAN($E205),CHAR(160)," "))),2)="P2",RIGHT(UPPER(TRIM(SUBSTITUTE(CLEAN($E205),CHAR(160)," "))),2)="P3",RIGHT(UPPER(TRIM(SUBSTITUTE(CLEAN($E205),CHAR(160)," "))),2)="P4",ISNUMBER(SEARCH("INDUSTRIAL HYGIENIST 1 ENVIRONMENT",UPPER(TRIM(SUBSTITUTE(CLEAN($E205),CHAR(160)," ")))))),"PS","GS"))</x:f>
      </x:c>
      <x:c r="R205" s="223" t="str">
        <x:f>IF($Q205="","",IF($Q205="PS",'Data'!$O$5,'Data'!$O$4))</x:f>
      </x:c>
      <x:c r="S205" s="224" t="str">
        <x:f>IF($E205="","",IFERROR(VLOOKUP($E205,'Data'!$A$2:$B$114,2,FALSE),""))</x:f>
      </x:c>
      <x:c r="T205" s="217" t="str">
        <x:f>IF($K205="","",VLOOKUP($K205,'Data'!$I$2:$L$6,2,TRUE))</x:f>
      </x:c>
      <x:c r="U205" s="217"/>
      <x:c r="V205" s="221" t="str">
        <x:f>IF($L205="","",$J205*$L205)</x:f>
      </x:c>
      <x:c r="W205" s="221" t="str">
        <x:f>IF($V205="","",$J205+$V205)</x:f>
      </x:c>
      <x:c r="X205" s="217" t="str">
        <x:f>IF($Y205="Ready","Review and inform supplier","")</x:f>
      </x:c>
      <x:c r="Y205" s="217" t="str">
        <x:f>IF(AND($B205="",$E205="",$I205=""),"",IF($B205="","Missing Assignment Number",IF($E205="","Select Job Title",IF($I205="","Enter Pay Rate",IF($S205="","Job Title not found","Ready")))))</x:f>
      </x:c>
    </x:row>
    <x:row r="206" ht="22" customHeight="1">
      <x:c r="A206" s="205"/>
      <x:c r="B206" s="205"/>
      <x:c r="C206" s="206"/>
      <x:c r="D206" s="205"/>
      <x:c r="E206" s="207"/>
      <x:c r="F206" s="208"/>
      <x:c r="G206" s="209" t="str">
        <x:f>IF($S206="","",IFERROR(VLOOKUP($S206,'Data'!$D$2:$G$14,3,FALSE),""))</x:f>
      </x:c>
      <x:c r="H206" s="210" t="str">
        <x:f>IF($G206="","",$G206/'Data'!$O$2/'Data'!$O$3)</x:f>
      </x:c>
      <x:c r="I206" s="211"/>
      <x:c r="J206" s="209" t="str">
        <x:f>IF(OR($E206="",$I206=""),"",$I206*'Data'!$O$2*'Data'!$O$3)</x:f>
      </x:c>
      <x:c r="K206" s="212" t="str">
        <x:f>IF(OR($J206="",$G206=""),"",$J206/$G206)</x:f>
      </x:c>
      <x:c r="L206" s="213" t="str">
        <x:f>IF($K206="","",VLOOKUP($K206,'Data'!$I$2:$L$6,3,TRUE))</x:f>
      </x:c>
      <x:c r="M206" s="210" t="str">
        <x:f>IF($L206="","",$I206*$L206)</x:f>
      </x:c>
      <x:c r="N206" s="214" t="str">
        <x:f>IF($M206="","",ROUNDDOWN($I206+$M206,2))</x:f>
      </x:c>
      <x:c r="O206" s="210" t="str">
        <x:f>IF($N206="","",ROUNDDOWN(ROUNDDOWN($N206,2)*$R206,3))</x:f>
      </x:c>
      <x:c r="P206" s="215"/>
      <x:c r="Q206" s="222" t="str">
        <x:f>IF($E206="","",IF(OR(RIGHT(UPPER(TRIM(SUBSTITUTE(CLEAN($E206),CHAR(160)," "))),2)="P1",RIGHT(UPPER(TRIM(SUBSTITUTE(CLEAN($E206),CHAR(160)," "))),2)="P2",RIGHT(UPPER(TRIM(SUBSTITUTE(CLEAN($E206),CHAR(160)," "))),2)="P3",RIGHT(UPPER(TRIM(SUBSTITUTE(CLEAN($E206),CHAR(160)," "))),2)="P4",ISNUMBER(SEARCH("INDUSTRIAL HYGIENIST 1 ENVIRONMENT",UPPER(TRIM(SUBSTITUTE(CLEAN($E206),CHAR(160)," ")))))),"PS","GS"))</x:f>
      </x:c>
      <x:c r="R206" s="223" t="str">
        <x:f>IF($Q206="","",IF($Q206="PS",'Data'!$O$5,'Data'!$O$4))</x:f>
      </x:c>
      <x:c r="S206" s="224" t="str">
        <x:f>IF($E206="","",IFERROR(VLOOKUP($E206,'Data'!$A$2:$B$114,2,FALSE),""))</x:f>
      </x:c>
      <x:c r="T206" s="217" t="str">
        <x:f>IF($K206="","",VLOOKUP($K206,'Data'!$I$2:$L$6,2,TRUE))</x:f>
      </x:c>
      <x:c r="U206" s="217"/>
      <x:c r="V206" s="221" t="str">
        <x:f>IF($L206="","",$J206*$L206)</x:f>
      </x:c>
      <x:c r="W206" s="221" t="str">
        <x:f>IF($V206="","",$J206+$V206)</x:f>
      </x:c>
      <x:c r="X206" s="217" t="str">
        <x:f>IF($Y206="Ready","Review and inform supplier","")</x:f>
      </x:c>
      <x:c r="Y206" s="217" t="str">
        <x:f>IF(AND($B206="",$E206="",$I206=""),"",IF($B206="","Missing Assignment Number",IF($E206="","Select Job Title",IF($I206="","Enter Pay Rate",IF($S206="","Job Title not found","Ready")))))</x:f>
      </x:c>
    </x:row>
    <x:row r="207" ht="22" customHeight="1">
      <x:c r="A207" s="205"/>
      <x:c r="B207" s="205"/>
      <x:c r="C207" s="206"/>
      <x:c r="D207" s="205"/>
      <x:c r="E207" s="207"/>
      <x:c r="F207" s="208"/>
      <x:c r="G207" s="209" t="str">
        <x:f>IF($S207="","",IFERROR(VLOOKUP($S207,'Data'!$D$2:$G$14,3,FALSE),""))</x:f>
      </x:c>
      <x:c r="H207" s="210" t="str">
        <x:f>IF($G207="","",$G207/'Data'!$O$2/'Data'!$O$3)</x:f>
      </x:c>
      <x:c r="I207" s="211"/>
      <x:c r="J207" s="209" t="str">
        <x:f>IF(OR($E207="",$I207=""),"",$I207*'Data'!$O$2*'Data'!$O$3)</x:f>
      </x:c>
      <x:c r="K207" s="212" t="str">
        <x:f>IF(OR($J207="",$G207=""),"",$J207/$G207)</x:f>
      </x:c>
      <x:c r="L207" s="213" t="str">
        <x:f>IF($K207="","",VLOOKUP($K207,'Data'!$I$2:$L$6,3,TRUE))</x:f>
      </x:c>
      <x:c r="M207" s="210" t="str">
        <x:f>IF($L207="","",$I207*$L207)</x:f>
      </x:c>
      <x:c r="N207" s="214" t="str">
        <x:f>IF($M207="","",ROUNDDOWN($I207+$M207,2))</x:f>
      </x:c>
      <x:c r="O207" s="210" t="str">
        <x:f>IF($N207="","",ROUNDDOWN(ROUNDDOWN($N207,2)*$R207,3))</x:f>
      </x:c>
      <x:c r="P207" s="215"/>
      <x:c r="Q207" s="222" t="str">
        <x:f>IF($E207="","",IF(OR(RIGHT(UPPER(TRIM(SUBSTITUTE(CLEAN($E207),CHAR(160)," "))),2)="P1",RIGHT(UPPER(TRIM(SUBSTITUTE(CLEAN($E207),CHAR(160)," "))),2)="P2",RIGHT(UPPER(TRIM(SUBSTITUTE(CLEAN($E207),CHAR(160)," "))),2)="P3",RIGHT(UPPER(TRIM(SUBSTITUTE(CLEAN($E207),CHAR(160)," "))),2)="P4",ISNUMBER(SEARCH("INDUSTRIAL HYGIENIST 1 ENVIRONMENT",UPPER(TRIM(SUBSTITUTE(CLEAN($E207),CHAR(160)," ")))))),"PS","GS"))</x:f>
      </x:c>
      <x:c r="R207" s="223" t="str">
        <x:f>IF($Q207="","",IF($Q207="PS",'Data'!$O$5,'Data'!$O$4))</x:f>
      </x:c>
      <x:c r="S207" s="224" t="str">
        <x:f>IF($E207="","",IFERROR(VLOOKUP($E207,'Data'!$A$2:$B$114,2,FALSE),""))</x:f>
      </x:c>
      <x:c r="T207" s="217" t="str">
        <x:f>IF($K207="","",VLOOKUP($K207,'Data'!$I$2:$L$6,2,TRUE))</x:f>
      </x:c>
      <x:c r="U207" s="217"/>
      <x:c r="V207" s="221" t="str">
        <x:f>IF($L207="","",$J207*$L207)</x:f>
      </x:c>
      <x:c r="W207" s="221" t="str">
        <x:f>IF($V207="","",$J207+$V207)</x:f>
      </x:c>
      <x:c r="X207" s="217" t="str">
        <x:f>IF($Y207="Ready","Review and inform supplier","")</x:f>
      </x:c>
      <x:c r="Y207" s="217" t="str">
        <x:f>IF(AND($B207="",$E207="",$I207=""),"",IF($B207="","Missing Assignment Number",IF($E207="","Select Job Title",IF($I207="","Enter Pay Rate",IF($S207="","Job Title not found","Ready")))))</x:f>
      </x:c>
    </x:row>
    <x:row r="208" ht="22" customHeight="1">
      <x:c r="A208" s="205"/>
      <x:c r="B208" s="205"/>
      <x:c r="C208" s="206"/>
      <x:c r="D208" s="205"/>
      <x:c r="E208" s="207"/>
      <x:c r="F208" s="208"/>
      <x:c r="G208" s="209" t="str">
        <x:f>IF($S208="","",IFERROR(VLOOKUP($S208,'Data'!$D$2:$G$14,3,FALSE),""))</x:f>
      </x:c>
      <x:c r="H208" s="210" t="str">
        <x:f>IF($G208="","",$G208/'Data'!$O$2/'Data'!$O$3)</x:f>
      </x:c>
      <x:c r="I208" s="211"/>
      <x:c r="J208" s="209" t="str">
        <x:f>IF(OR($E208="",$I208=""),"",$I208*'Data'!$O$2*'Data'!$O$3)</x:f>
      </x:c>
      <x:c r="K208" s="212" t="str">
        <x:f>IF(OR($J208="",$G208=""),"",$J208/$G208)</x:f>
      </x:c>
      <x:c r="L208" s="213" t="str">
        <x:f>IF($K208="","",VLOOKUP($K208,'Data'!$I$2:$L$6,3,TRUE))</x:f>
      </x:c>
      <x:c r="M208" s="210" t="str">
        <x:f>IF($L208="","",$I208*$L208)</x:f>
      </x:c>
      <x:c r="N208" s="214" t="str">
        <x:f>IF($M208="","",ROUNDDOWN($I208+$M208,2))</x:f>
      </x:c>
      <x:c r="O208" s="210" t="str">
        <x:f>IF($N208="","",ROUNDDOWN(ROUNDDOWN($N208,2)*$R208,3))</x:f>
      </x:c>
      <x:c r="P208" s="215"/>
      <x:c r="Q208" s="222" t="str">
        <x:f>IF($E208="","",IF(OR(RIGHT(UPPER(TRIM(SUBSTITUTE(CLEAN($E208),CHAR(160)," "))),2)="P1",RIGHT(UPPER(TRIM(SUBSTITUTE(CLEAN($E208),CHAR(160)," "))),2)="P2",RIGHT(UPPER(TRIM(SUBSTITUTE(CLEAN($E208),CHAR(160)," "))),2)="P3",RIGHT(UPPER(TRIM(SUBSTITUTE(CLEAN($E208),CHAR(160)," "))),2)="P4",ISNUMBER(SEARCH("INDUSTRIAL HYGIENIST 1 ENVIRONMENT",UPPER(TRIM(SUBSTITUTE(CLEAN($E208),CHAR(160)," ")))))),"PS","GS"))</x:f>
      </x:c>
      <x:c r="R208" s="223" t="str">
        <x:f>IF($Q208="","",IF($Q208="PS",'Data'!$O$5,'Data'!$O$4))</x:f>
      </x:c>
      <x:c r="S208" s="224" t="str">
        <x:f>IF($E208="","",IFERROR(VLOOKUP($E208,'Data'!$A$2:$B$114,2,FALSE),""))</x:f>
      </x:c>
      <x:c r="T208" s="217" t="str">
        <x:f>IF($K208="","",VLOOKUP($K208,'Data'!$I$2:$L$6,2,TRUE))</x:f>
      </x:c>
      <x:c r="U208" s="217"/>
      <x:c r="V208" s="221" t="str">
        <x:f>IF($L208="","",$J208*$L208)</x:f>
      </x:c>
      <x:c r="W208" s="221" t="str">
        <x:f>IF($V208="","",$J208+$V208)</x:f>
      </x:c>
      <x:c r="X208" s="217" t="str">
        <x:f>IF($Y208="Ready","Review and inform supplier","")</x:f>
      </x:c>
      <x:c r="Y208" s="217" t="str">
        <x:f>IF(AND($B208="",$E208="",$I208=""),"",IF($B208="","Missing Assignment Number",IF($E208="","Select Job Title",IF($I208="","Enter Pay Rate",IF($S208="","Job Title not found","Ready")))))</x:f>
      </x:c>
    </x:row>
    <x:row r="209" ht="22" customHeight="1">
      <x:c r="A209" s="205"/>
      <x:c r="B209" s="205"/>
      <x:c r="C209" s="206"/>
      <x:c r="D209" s="205"/>
      <x:c r="E209" s="207"/>
      <x:c r="F209" s="208"/>
      <x:c r="G209" s="209" t="str">
        <x:f>IF($S209="","",IFERROR(VLOOKUP($S209,'Data'!$D$2:$G$14,3,FALSE),""))</x:f>
      </x:c>
      <x:c r="H209" s="210" t="str">
        <x:f>IF($G209="","",$G209/'Data'!$O$2/'Data'!$O$3)</x:f>
      </x:c>
      <x:c r="I209" s="211"/>
      <x:c r="J209" s="209" t="str">
        <x:f>IF(OR($E209="",$I209=""),"",$I209*'Data'!$O$2*'Data'!$O$3)</x:f>
      </x:c>
      <x:c r="K209" s="212" t="str">
        <x:f>IF(OR($J209="",$G209=""),"",$J209/$G209)</x:f>
      </x:c>
      <x:c r="L209" s="213" t="str">
        <x:f>IF($K209="","",VLOOKUP($K209,'Data'!$I$2:$L$6,3,TRUE))</x:f>
      </x:c>
      <x:c r="M209" s="210" t="str">
        <x:f>IF($L209="","",$I209*$L209)</x:f>
      </x:c>
      <x:c r="N209" s="214" t="str">
        <x:f>IF($M209="","",ROUNDDOWN($I209+$M209,2))</x:f>
      </x:c>
      <x:c r="O209" s="210" t="str">
        <x:f>IF($N209="","",ROUNDDOWN(ROUNDDOWN($N209,2)*$R209,3))</x:f>
      </x:c>
      <x:c r="P209" s="215"/>
      <x:c r="Q209" s="222" t="str">
        <x:f>IF($E209="","",IF(OR(RIGHT(UPPER(TRIM(SUBSTITUTE(CLEAN($E209),CHAR(160)," "))),2)="P1",RIGHT(UPPER(TRIM(SUBSTITUTE(CLEAN($E209),CHAR(160)," "))),2)="P2",RIGHT(UPPER(TRIM(SUBSTITUTE(CLEAN($E209),CHAR(160)," "))),2)="P3",RIGHT(UPPER(TRIM(SUBSTITUTE(CLEAN($E209),CHAR(160)," "))),2)="P4",ISNUMBER(SEARCH("INDUSTRIAL HYGIENIST 1 ENVIRONMENT",UPPER(TRIM(SUBSTITUTE(CLEAN($E209),CHAR(160)," ")))))),"PS","GS"))</x:f>
      </x:c>
      <x:c r="R209" s="223" t="str">
        <x:f>IF($Q209="","",IF($Q209="PS",'Data'!$O$5,'Data'!$O$4))</x:f>
      </x:c>
      <x:c r="S209" s="224" t="str">
        <x:f>IF($E209="","",IFERROR(VLOOKUP($E209,'Data'!$A$2:$B$114,2,FALSE),""))</x:f>
      </x:c>
      <x:c r="T209" s="217" t="str">
        <x:f>IF($K209="","",VLOOKUP($K209,'Data'!$I$2:$L$6,2,TRUE))</x:f>
      </x:c>
      <x:c r="U209" s="217"/>
      <x:c r="V209" s="221" t="str">
        <x:f>IF($L209="","",$J209*$L209)</x:f>
      </x:c>
      <x:c r="W209" s="221" t="str">
        <x:f>IF($V209="","",$J209+$V209)</x:f>
      </x:c>
      <x:c r="X209" s="217" t="str">
        <x:f>IF($Y209="Ready","Review and inform supplier","")</x:f>
      </x:c>
      <x:c r="Y209" s="217" t="str">
        <x:f>IF(AND($B209="",$E209="",$I209=""),"",IF($B209="","Missing Assignment Number",IF($E209="","Select Job Title",IF($I209="","Enter Pay Rate",IF($S209="","Job Title not found","Ready")))))</x:f>
      </x:c>
    </x:row>
    <x:row r="210" ht="22" customHeight="1">
      <x:c r="A210" s="205"/>
      <x:c r="B210" s="205"/>
      <x:c r="C210" s="206"/>
      <x:c r="D210" s="205"/>
      <x:c r="E210" s="207"/>
      <x:c r="F210" s="208"/>
      <x:c r="G210" s="209" t="str">
        <x:f>IF($S210="","",IFERROR(VLOOKUP($S210,'Data'!$D$2:$G$14,3,FALSE),""))</x:f>
      </x:c>
      <x:c r="H210" s="210" t="str">
        <x:f>IF($G210="","",$G210/'Data'!$O$2/'Data'!$O$3)</x:f>
      </x:c>
      <x:c r="I210" s="211"/>
      <x:c r="J210" s="209" t="str">
        <x:f>IF(OR($E210="",$I210=""),"",$I210*'Data'!$O$2*'Data'!$O$3)</x:f>
      </x:c>
      <x:c r="K210" s="212" t="str">
        <x:f>IF(OR($J210="",$G210=""),"",$J210/$G210)</x:f>
      </x:c>
      <x:c r="L210" s="213" t="str">
        <x:f>IF($K210="","",VLOOKUP($K210,'Data'!$I$2:$L$6,3,TRUE))</x:f>
      </x:c>
      <x:c r="M210" s="210" t="str">
        <x:f>IF($L210="","",$I210*$L210)</x:f>
      </x:c>
      <x:c r="N210" s="214" t="str">
        <x:f>IF($M210="","",ROUNDDOWN($I210+$M210,2))</x:f>
      </x:c>
      <x:c r="O210" s="210" t="str">
        <x:f>IF($N210="","",ROUNDDOWN(ROUNDDOWN($N210,2)*$R210,3))</x:f>
      </x:c>
      <x:c r="P210" s="215"/>
      <x:c r="Q210" s="222" t="str">
        <x:f>IF($E210="","",IF(OR(RIGHT(UPPER(TRIM(SUBSTITUTE(CLEAN($E210),CHAR(160)," "))),2)="P1",RIGHT(UPPER(TRIM(SUBSTITUTE(CLEAN($E210),CHAR(160)," "))),2)="P2",RIGHT(UPPER(TRIM(SUBSTITUTE(CLEAN($E210),CHAR(160)," "))),2)="P3",RIGHT(UPPER(TRIM(SUBSTITUTE(CLEAN($E210),CHAR(160)," "))),2)="P4",ISNUMBER(SEARCH("INDUSTRIAL HYGIENIST 1 ENVIRONMENT",UPPER(TRIM(SUBSTITUTE(CLEAN($E210),CHAR(160)," ")))))),"PS","GS"))</x:f>
      </x:c>
      <x:c r="R210" s="223" t="str">
        <x:f>IF($Q210="","",IF($Q210="PS",'Data'!$O$5,'Data'!$O$4))</x:f>
      </x:c>
      <x:c r="S210" s="224" t="str">
        <x:f>IF($E210="","",IFERROR(VLOOKUP($E210,'Data'!$A$2:$B$114,2,FALSE),""))</x:f>
      </x:c>
      <x:c r="T210" s="217" t="str">
        <x:f>IF($K210="","",VLOOKUP($K210,'Data'!$I$2:$L$6,2,TRUE))</x:f>
      </x:c>
      <x:c r="U210" s="217"/>
      <x:c r="V210" s="221" t="str">
        <x:f>IF($L210="","",$J210*$L210)</x:f>
      </x:c>
      <x:c r="W210" s="221" t="str">
        <x:f>IF($V210="","",$J210+$V210)</x:f>
      </x:c>
      <x:c r="X210" s="217" t="str">
        <x:f>IF($Y210="Ready","Review and inform supplier","")</x:f>
      </x:c>
      <x:c r="Y210" s="217" t="str">
        <x:f>IF(AND($B210="",$E210="",$I210=""),"",IF($B210="","Missing Assignment Number",IF($E210="","Select Job Title",IF($I210="","Enter Pay Rate",IF($S210="","Job Title not found","Ready")))))</x:f>
      </x:c>
    </x:row>
    <x:row r="211" ht="22" customHeight="1">
      <x:c r="A211" s="205"/>
      <x:c r="B211" s="205"/>
      <x:c r="C211" s="206"/>
      <x:c r="D211" s="205"/>
      <x:c r="E211" s="207"/>
      <x:c r="F211" s="208"/>
      <x:c r="G211" s="209" t="str">
        <x:f>IF($S211="","",IFERROR(VLOOKUP($S211,'Data'!$D$2:$G$14,3,FALSE),""))</x:f>
      </x:c>
      <x:c r="H211" s="210" t="str">
        <x:f>IF($G211="","",$G211/'Data'!$O$2/'Data'!$O$3)</x:f>
      </x:c>
      <x:c r="I211" s="211"/>
      <x:c r="J211" s="209" t="str">
        <x:f>IF(OR($E211="",$I211=""),"",$I211*'Data'!$O$2*'Data'!$O$3)</x:f>
      </x:c>
      <x:c r="K211" s="212" t="str">
        <x:f>IF(OR($J211="",$G211=""),"",$J211/$G211)</x:f>
      </x:c>
      <x:c r="L211" s="213" t="str">
        <x:f>IF($K211="","",VLOOKUP($K211,'Data'!$I$2:$L$6,3,TRUE))</x:f>
      </x:c>
      <x:c r="M211" s="210" t="str">
        <x:f>IF($L211="","",$I211*$L211)</x:f>
      </x:c>
      <x:c r="N211" s="214" t="str">
        <x:f>IF($M211="","",ROUNDDOWN($I211+$M211,2))</x:f>
      </x:c>
      <x:c r="O211" s="210" t="str">
        <x:f>IF($N211="","",ROUNDDOWN(ROUNDDOWN($N211,2)*$R211,3))</x:f>
      </x:c>
      <x:c r="P211" s="215"/>
      <x:c r="Q211" s="222" t="str">
        <x:f>IF($E211="","",IF(OR(RIGHT(UPPER(TRIM(SUBSTITUTE(CLEAN($E211),CHAR(160)," "))),2)="P1",RIGHT(UPPER(TRIM(SUBSTITUTE(CLEAN($E211),CHAR(160)," "))),2)="P2",RIGHT(UPPER(TRIM(SUBSTITUTE(CLEAN($E211),CHAR(160)," "))),2)="P3",RIGHT(UPPER(TRIM(SUBSTITUTE(CLEAN($E211),CHAR(160)," "))),2)="P4",ISNUMBER(SEARCH("INDUSTRIAL HYGIENIST 1 ENVIRONMENT",UPPER(TRIM(SUBSTITUTE(CLEAN($E211),CHAR(160)," ")))))),"PS","GS"))</x:f>
      </x:c>
      <x:c r="R211" s="223" t="str">
        <x:f>IF($Q211="","",IF($Q211="PS",'Data'!$O$5,'Data'!$O$4))</x:f>
      </x:c>
      <x:c r="S211" s="224" t="str">
        <x:f>IF($E211="","",IFERROR(VLOOKUP($E211,'Data'!$A$2:$B$114,2,FALSE),""))</x:f>
      </x:c>
      <x:c r="T211" s="217" t="str">
        <x:f>IF($K211="","",VLOOKUP($K211,'Data'!$I$2:$L$6,2,TRUE))</x:f>
      </x:c>
      <x:c r="U211" s="217"/>
      <x:c r="V211" s="221" t="str">
        <x:f>IF($L211="","",$J211*$L211)</x:f>
      </x:c>
      <x:c r="W211" s="221" t="str">
        <x:f>IF($V211="","",$J211+$V211)</x:f>
      </x:c>
      <x:c r="X211" s="217" t="str">
        <x:f>IF($Y211="Ready","Review and inform supplier","")</x:f>
      </x:c>
      <x:c r="Y211" s="217" t="str">
        <x:f>IF(AND($B211="",$E211="",$I211=""),"",IF($B211="","Missing Assignment Number",IF($E211="","Select Job Title",IF($I211="","Enter Pay Rate",IF($S211="","Job Title not found","Ready")))))</x:f>
      </x:c>
    </x:row>
    <x:row r="212" ht="22" customHeight="1">
      <x:c r="A212" s="205"/>
      <x:c r="B212" s="205"/>
      <x:c r="C212" s="206"/>
      <x:c r="D212" s="205"/>
      <x:c r="E212" s="207"/>
      <x:c r="F212" s="208"/>
      <x:c r="G212" s="209" t="str">
        <x:f>IF($S212="","",IFERROR(VLOOKUP($S212,'Data'!$D$2:$G$14,3,FALSE),""))</x:f>
      </x:c>
      <x:c r="H212" s="210" t="str">
        <x:f>IF($G212="","",$G212/'Data'!$O$2/'Data'!$O$3)</x:f>
      </x:c>
      <x:c r="I212" s="211"/>
      <x:c r="J212" s="209" t="str">
        <x:f>IF(OR($E212="",$I212=""),"",$I212*'Data'!$O$2*'Data'!$O$3)</x:f>
      </x:c>
      <x:c r="K212" s="212" t="str">
        <x:f>IF(OR($J212="",$G212=""),"",$J212/$G212)</x:f>
      </x:c>
      <x:c r="L212" s="213" t="str">
        <x:f>IF($K212="","",VLOOKUP($K212,'Data'!$I$2:$L$6,3,TRUE))</x:f>
      </x:c>
      <x:c r="M212" s="210" t="str">
        <x:f>IF($L212="","",$I212*$L212)</x:f>
      </x:c>
      <x:c r="N212" s="214" t="str">
        <x:f>IF($M212="","",ROUNDDOWN($I212+$M212,2))</x:f>
      </x:c>
      <x:c r="O212" s="210" t="str">
        <x:f>IF($N212="","",ROUNDDOWN(ROUNDDOWN($N212,2)*$R212,3))</x:f>
      </x:c>
      <x:c r="P212" s="215"/>
      <x:c r="Q212" s="222" t="str">
        <x:f>IF($E212="","",IF(OR(RIGHT(UPPER(TRIM(SUBSTITUTE(CLEAN($E212),CHAR(160)," "))),2)="P1",RIGHT(UPPER(TRIM(SUBSTITUTE(CLEAN($E212),CHAR(160)," "))),2)="P2",RIGHT(UPPER(TRIM(SUBSTITUTE(CLEAN($E212),CHAR(160)," "))),2)="P3",RIGHT(UPPER(TRIM(SUBSTITUTE(CLEAN($E212),CHAR(160)," "))),2)="P4",ISNUMBER(SEARCH("INDUSTRIAL HYGIENIST 1 ENVIRONMENT",UPPER(TRIM(SUBSTITUTE(CLEAN($E212),CHAR(160)," ")))))),"PS","GS"))</x:f>
      </x:c>
      <x:c r="R212" s="223" t="str">
        <x:f>IF($Q212="","",IF($Q212="PS",'Data'!$O$5,'Data'!$O$4))</x:f>
      </x:c>
      <x:c r="S212" s="224" t="str">
        <x:f>IF($E212="","",IFERROR(VLOOKUP($E212,'Data'!$A$2:$B$114,2,FALSE),""))</x:f>
      </x:c>
      <x:c r="T212" s="217" t="str">
        <x:f>IF($K212="","",VLOOKUP($K212,'Data'!$I$2:$L$6,2,TRUE))</x:f>
      </x:c>
      <x:c r="U212" s="217"/>
      <x:c r="V212" s="221" t="str">
        <x:f>IF($L212="","",$J212*$L212)</x:f>
      </x:c>
      <x:c r="W212" s="221" t="str">
        <x:f>IF($V212="","",$J212+$V212)</x:f>
      </x:c>
      <x:c r="X212" s="217" t="str">
        <x:f>IF($Y212="Ready","Review and inform supplier","")</x:f>
      </x:c>
      <x:c r="Y212" s="217" t="str">
        <x:f>IF(AND($B212="",$E212="",$I212=""),"",IF($B212="","Missing Assignment Number",IF($E212="","Select Job Title",IF($I212="","Enter Pay Rate",IF($S212="","Job Title not found","Ready")))))</x:f>
      </x:c>
    </x:row>
    <x:row r="213" ht="22" customHeight="1">
      <x:c r="A213" s="205"/>
      <x:c r="B213" s="205"/>
      <x:c r="C213" s="206"/>
      <x:c r="D213" s="205"/>
      <x:c r="E213" s="207"/>
      <x:c r="F213" s="208"/>
      <x:c r="G213" s="209" t="str">
        <x:f>IF($S213="","",IFERROR(VLOOKUP($S213,'Data'!$D$2:$G$14,3,FALSE),""))</x:f>
      </x:c>
      <x:c r="H213" s="210" t="str">
        <x:f>IF($G213="","",$G213/'Data'!$O$2/'Data'!$O$3)</x:f>
      </x:c>
      <x:c r="I213" s="211"/>
      <x:c r="J213" s="209" t="str">
        <x:f>IF(OR($E213="",$I213=""),"",$I213*'Data'!$O$2*'Data'!$O$3)</x:f>
      </x:c>
      <x:c r="K213" s="212" t="str">
        <x:f>IF(OR($J213="",$G213=""),"",$J213/$G213)</x:f>
      </x:c>
      <x:c r="L213" s="213" t="str">
        <x:f>IF($K213="","",VLOOKUP($K213,'Data'!$I$2:$L$6,3,TRUE))</x:f>
      </x:c>
      <x:c r="M213" s="210" t="str">
        <x:f>IF($L213="","",$I213*$L213)</x:f>
      </x:c>
      <x:c r="N213" s="214" t="str">
        <x:f>IF($M213="","",ROUNDDOWN($I213+$M213,2))</x:f>
      </x:c>
      <x:c r="O213" s="210" t="str">
        <x:f>IF($N213="","",ROUNDDOWN(ROUNDDOWN($N213,2)*$R213,3))</x:f>
      </x:c>
      <x:c r="P213" s="215"/>
      <x:c r="Q213" s="222" t="str">
        <x:f>IF($E213="","",IF(OR(RIGHT(UPPER(TRIM(SUBSTITUTE(CLEAN($E213),CHAR(160)," "))),2)="P1",RIGHT(UPPER(TRIM(SUBSTITUTE(CLEAN($E213),CHAR(160)," "))),2)="P2",RIGHT(UPPER(TRIM(SUBSTITUTE(CLEAN($E213),CHAR(160)," "))),2)="P3",RIGHT(UPPER(TRIM(SUBSTITUTE(CLEAN($E213),CHAR(160)," "))),2)="P4",ISNUMBER(SEARCH("INDUSTRIAL HYGIENIST 1 ENVIRONMENT",UPPER(TRIM(SUBSTITUTE(CLEAN($E213),CHAR(160)," ")))))),"PS","GS"))</x:f>
      </x:c>
      <x:c r="R213" s="223" t="str">
        <x:f>IF($Q213="","",IF($Q213="PS",'Data'!$O$5,'Data'!$O$4))</x:f>
      </x:c>
      <x:c r="S213" s="224" t="str">
        <x:f>IF($E213="","",IFERROR(VLOOKUP($E213,'Data'!$A$2:$B$114,2,FALSE),""))</x:f>
      </x:c>
      <x:c r="T213" s="217" t="str">
        <x:f>IF($K213="","",VLOOKUP($K213,'Data'!$I$2:$L$6,2,TRUE))</x:f>
      </x:c>
      <x:c r="U213" s="217"/>
      <x:c r="V213" s="221" t="str">
        <x:f>IF($L213="","",$J213*$L213)</x:f>
      </x:c>
      <x:c r="W213" s="221" t="str">
        <x:f>IF($V213="","",$J213+$V213)</x:f>
      </x:c>
      <x:c r="X213" s="217" t="str">
        <x:f>IF($Y213="Ready","Review and inform supplier","")</x:f>
      </x:c>
      <x:c r="Y213" s="217" t="str">
        <x:f>IF(AND($B213="",$E213="",$I213=""),"",IF($B213="","Missing Assignment Number",IF($E213="","Select Job Title",IF($I213="","Enter Pay Rate",IF($S213="","Job Title not found","Ready")))))</x:f>
      </x:c>
    </x:row>
    <x:row r="214" ht="22" customHeight="1">
      <x:c r="A214" s="205"/>
      <x:c r="B214" s="205"/>
      <x:c r="C214" s="206"/>
      <x:c r="D214" s="205"/>
      <x:c r="E214" s="207"/>
      <x:c r="F214" s="208"/>
      <x:c r="G214" s="209" t="str">
        <x:f>IF($S214="","",IFERROR(VLOOKUP($S214,'Data'!$D$2:$G$14,3,FALSE),""))</x:f>
      </x:c>
      <x:c r="H214" s="210" t="str">
        <x:f>IF($G214="","",$G214/'Data'!$O$2/'Data'!$O$3)</x:f>
      </x:c>
      <x:c r="I214" s="211"/>
      <x:c r="J214" s="209" t="str">
        <x:f>IF(OR($E214="",$I214=""),"",$I214*'Data'!$O$2*'Data'!$O$3)</x:f>
      </x:c>
      <x:c r="K214" s="212" t="str">
        <x:f>IF(OR($J214="",$G214=""),"",$J214/$G214)</x:f>
      </x:c>
      <x:c r="L214" s="213" t="str">
        <x:f>IF($K214="","",VLOOKUP($K214,'Data'!$I$2:$L$6,3,TRUE))</x:f>
      </x:c>
      <x:c r="M214" s="210" t="str">
        <x:f>IF($L214="","",$I214*$L214)</x:f>
      </x:c>
      <x:c r="N214" s="214" t="str">
        <x:f>IF($M214="","",ROUNDDOWN($I214+$M214,2))</x:f>
      </x:c>
      <x:c r="O214" s="210" t="str">
        <x:f>IF($N214="","",ROUNDDOWN(ROUNDDOWN($N214,2)*$R214,3))</x:f>
      </x:c>
      <x:c r="P214" s="215"/>
      <x:c r="Q214" s="222" t="str">
        <x:f>IF($E214="","",IF(OR(RIGHT(UPPER(TRIM(SUBSTITUTE(CLEAN($E214),CHAR(160)," "))),2)="P1",RIGHT(UPPER(TRIM(SUBSTITUTE(CLEAN($E214),CHAR(160)," "))),2)="P2",RIGHT(UPPER(TRIM(SUBSTITUTE(CLEAN($E214),CHAR(160)," "))),2)="P3",RIGHT(UPPER(TRIM(SUBSTITUTE(CLEAN($E214),CHAR(160)," "))),2)="P4",ISNUMBER(SEARCH("INDUSTRIAL HYGIENIST 1 ENVIRONMENT",UPPER(TRIM(SUBSTITUTE(CLEAN($E214),CHAR(160)," ")))))),"PS","GS"))</x:f>
      </x:c>
      <x:c r="R214" s="223" t="str">
        <x:f>IF($Q214="","",IF($Q214="PS",'Data'!$O$5,'Data'!$O$4))</x:f>
      </x:c>
      <x:c r="S214" s="224" t="str">
        <x:f>IF($E214="","",IFERROR(VLOOKUP($E214,'Data'!$A$2:$B$114,2,FALSE),""))</x:f>
      </x:c>
      <x:c r="T214" s="217" t="str">
        <x:f>IF($K214="","",VLOOKUP($K214,'Data'!$I$2:$L$6,2,TRUE))</x:f>
      </x:c>
      <x:c r="U214" s="217"/>
      <x:c r="V214" s="221" t="str">
        <x:f>IF($L214="","",$J214*$L214)</x:f>
      </x:c>
      <x:c r="W214" s="221" t="str">
        <x:f>IF($V214="","",$J214+$V214)</x:f>
      </x:c>
      <x:c r="X214" s="217" t="str">
        <x:f>IF($Y214="Ready","Review and inform supplier","")</x:f>
      </x:c>
      <x:c r="Y214" s="217" t="str">
        <x:f>IF(AND($B214="",$E214="",$I214=""),"",IF($B214="","Missing Assignment Number",IF($E214="","Select Job Title",IF($I214="","Enter Pay Rate",IF($S214="","Job Title not found","Ready")))))</x:f>
      </x:c>
    </x:row>
    <x:row r="215" ht="22" customHeight="1">
      <x:c r="A215" s="205"/>
      <x:c r="B215" s="205"/>
      <x:c r="C215" s="206"/>
      <x:c r="D215" s="205"/>
      <x:c r="E215" s="207"/>
      <x:c r="F215" s="208"/>
      <x:c r="G215" s="209" t="str">
        <x:f>IF($S215="","",IFERROR(VLOOKUP($S215,'Data'!$D$2:$G$14,3,FALSE),""))</x:f>
      </x:c>
      <x:c r="H215" s="210" t="str">
        <x:f>IF($G215="","",$G215/'Data'!$O$2/'Data'!$O$3)</x:f>
      </x:c>
      <x:c r="I215" s="211"/>
      <x:c r="J215" s="209" t="str">
        <x:f>IF(OR($E215="",$I215=""),"",$I215*'Data'!$O$2*'Data'!$O$3)</x:f>
      </x:c>
      <x:c r="K215" s="212" t="str">
        <x:f>IF(OR($J215="",$G215=""),"",$J215/$G215)</x:f>
      </x:c>
      <x:c r="L215" s="213" t="str">
        <x:f>IF($K215="","",VLOOKUP($K215,'Data'!$I$2:$L$6,3,TRUE))</x:f>
      </x:c>
      <x:c r="M215" s="210" t="str">
        <x:f>IF($L215="","",$I215*$L215)</x:f>
      </x:c>
      <x:c r="N215" s="214" t="str">
        <x:f>IF($M215="","",ROUNDDOWN($I215+$M215,2))</x:f>
      </x:c>
      <x:c r="O215" s="210" t="str">
        <x:f>IF($N215="","",ROUNDDOWN(ROUNDDOWN($N215,2)*$R215,3))</x:f>
      </x:c>
      <x:c r="P215" s="215"/>
      <x:c r="Q215" s="222" t="str">
        <x:f>IF($E215="","",IF(OR(RIGHT(UPPER(TRIM(SUBSTITUTE(CLEAN($E215),CHAR(160)," "))),2)="P1",RIGHT(UPPER(TRIM(SUBSTITUTE(CLEAN($E215),CHAR(160)," "))),2)="P2",RIGHT(UPPER(TRIM(SUBSTITUTE(CLEAN($E215),CHAR(160)," "))),2)="P3",RIGHT(UPPER(TRIM(SUBSTITUTE(CLEAN($E215),CHAR(160)," "))),2)="P4",ISNUMBER(SEARCH("INDUSTRIAL HYGIENIST 1 ENVIRONMENT",UPPER(TRIM(SUBSTITUTE(CLEAN($E215),CHAR(160)," ")))))),"PS","GS"))</x:f>
      </x:c>
      <x:c r="R215" s="223" t="str">
        <x:f>IF($Q215="","",IF($Q215="PS",'Data'!$O$5,'Data'!$O$4))</x:f>
      </x:c>
      <x:c r="S215" s="224" t="str">
        <x:f>IF($E215="","",IFERROR(VLOOKUP($E215,'Data'!$A$2:$B$114,2,FALSE),""))</x:f>
      </x:c>
      <x:c r="T215" s="217" t="str">
        <x:f>IF($K215="","",VLOOKUP($K215,'Data'!$I$2:$L$6,2,TRUE))</x:f>
      </x:c>
      <x:c r="U215" s="217"/>
      <x:c r="V215" s="221" t="str">
        <x:f>IF($L215="","",$J215*$L215)</x:f>
      </x:c>
      <x:c r="W215" s="221" t="str">
        <x:f>IF($V215="","",$J215+$V215)</x:f>
      </x:c>
      <x:c r="X215" s="217" t="str">
        <x:f>IF($Y215="Ready","Review and inform supplier","")</x:f>
      </x:c>
      <x:c r="Y215" s="217" t="str">
        <x:f>IF(AND($B215="",$E215="",$I215=""),"",IF($B215="","Missing Assignment Number",IF($E215="","Select Job Title",IF($I215="","Enter Pay Rate",IF($S215="","Job Title not found","Ready")))))</x:f>
      </x:c>
    </x:row>
    <x:row r="216" ht="22" customHeight="1">
      <x:c r="A216" s="205"/>
      <x:c r="B216" s="205"/>
      <x:c r="C216" s="206"/>
      <x:c r="D216" s="205"/>
      <x:c r="E216" s="207"/>
      <x:c r="F216" s="208"/>
      <x:c r="G216" s="209" t="str">
        <x:f>IF($S216="","",IFERROR(VLOOKUP($S216,'Data'!$D$2:$G$14,3,FALSE),""))</x:f>
      </x:c>
      <x:c r="H216" s="210" t="str">
        <x:f>IF($G216="","",$G216/'Data'!$O$2/'Data'!$O$3)</x:f>
      </x:c>
      <x:c r="I216" s="211"/>
      <x:c r="J216" s="209" t="str">
        <x:f>IF(OR($E216="",$I216=""),"",$I216*'Data'!$O$2*'Data'!$O$3)</x:f>
      </x:c>
      <x:c r="K216" s="212" t="str">
        <x:f>IF(OR($J216="",$G216=""),"",$J216/$G216)</x:f>
      </x:c>
      <x:c r="L216" s="213" t="str">
        <x:f>IF($K216="","",VLOOKUP($K216,'Data'!$I$2:$L$6,3,TRUE))</x:f>
      </x:c>
      <x:c r="M216" s="210" t="str">
        <x:f>IF($L216="","",$I216*$L216)</x:f>
      </x:c>
      <x:c r="N216" s="214" t="str">
        <x:f>IF($M216="","",ROUNDDOWN($I216+$M216,2))</x:f>
      </x:c>
      <x:c r="O216" s="210" t="str">
        <x:f>IF($N216="","",ROUNDDOWN(ROUNDDOWN($N216,2)*$R216,3))</x:f>
      </x:c>
      <x:c r="P216" s="215"/>
      <x:c r="Q216" s="222" t="str">
        <x:f>IF($E216="","",IF(OR(RIGHT(UPPER(TRIM(SUBSTITUTE(CLEAN($E216),CHAR(160)," "))),2)="P1",RIGHT(UPPER(TRIM(SUBSTITUTE(CLEAN($E216),CHAR(160)," "))),2)="P2",RIGHT(UPPER(TRIM(SUBSTITUTE(CLEAN($E216),CHAR(160)," "))),2)="P3",RIGHT(UPPER(TRIM(SUBSTITUTE(CLEAN($E216),CHAR(160)," "))),2)="P4",ISNUMBER(SEARCH("INDUSTRIAL HYGIENIST 1 ENVIRONMENT",UPPER(TRIM(SUBSTITUTE(CLEAN($E216),CHAR(160)," ")))))),"PS","GS"))</x:f>
      </x:c>
      <x:c r="R216" s="223" t="str">
        <x:f>IF($Q216="","",IF($Q216="PS",'Data'!$O$5,'Data'!$O$4))</x:f>
      </x:c>
      <x:c r="S216" s="224" t="str">
        <x:f>IF($E216="","",IFERROR(VLOOKUP($E216,'Data'!$A$2:$B$114,2,FALSE),""))</x:f>
      </x:c>
      <x:c r="T216" s="217" t="str">
        <x:f>IF($K216="","",VLOOKUP($K216,'Data'!$I$2:$L$6,2,TRUE))</x:f>
      </x:c>
      <x:c r="U216" s="217"/>
      <x:c r="V216" s="221" t="str">
        <x:f>IF($L216="","",$J216*$L216)</x:f>
      </x:c>
      <x:c r="W216" s="221" t="str">
        <x:f>IF($V216="","",$J216+$V216)</x:f>
      </x:c>
      <x:c r="X216" s="217" t="str">
        <x:f>IF($Y216="Ready","Review and inform supplier","")</x:f>
      </x:c>
      <x:c r="Y216" s="217" t="str">
        <x:f>IF(AND($B216="",$E216="",$I216=""),"",IF($B216="","Missing Assignment Number",IF($E216="","Select Job Title",IF($I216="","Enter Pay Rate",IF($S216="","Job Title not found","Ready")))))</x:f>
      </x:c>
    </x:row>
    <x:row r="217" ht="22" customHeight="1">
      <x:c r="A217" s="205"/>
      <x:c r="B217" s="205"/>
      <x:c r="C217" s="206"/>
      <x:c r="D217" s="205"/>
      <x:c r="E217" s="207"/>
      <x:c r="F217" s="208"/>
      <x:c r="G217" s="209" t="str">
        <x:f>IF($S217="","",IFERROR(VLOOKUP($S217,'Data'!$D$2:$G$14,3,FALSE),""))</x:f>
      </x:c>
      <x:c r="H217" s="210" t="str">
        <x:f>IF($G217="","",$G217/'Data'!$O$2/'Data'!$O$3)</x:f>
      </x:c>
      <x:c r="I217" s="211"/>
      <x:c r="J217" s="209" t="str">
        <x:f>IF(OR($E217="",$I217=""),"",$I217*'Data'!$O$2*'Data'!$O$3)</x:f>
      </x:c>
      <x:c r="K217" s="212" t="str">
        <x:f>IF(OR($J217="",$G217=""),"",$J217/$G217)</x:f>
      </x:c>
      <x:c r="L217" s="213" t="str">
        <x:f>IF($K217="","",VLOOKUP($K217,'Data'!$I$2:$L$6,3,TRUE))</x:f>
      </x:c>
      <x:c r="M217" s="210" t="str">
        <x:f>IF($L217="","",$I217*$L217)</x:f>
      </x:c>
      <x:c r="N217" s="214" t="str">
        <x:f>IF($M217="","",ROUNDDOWN($I217+$M217,2))</x:f>
      </x:c>
      <x:c r="O217" s="210" t="str">
        <x:f>IF($N217="","",ROUNDDOWN(ROUNDDOWN($N217,2)*$R217,3))</x:f>
      </x:c>
      <x:c r="P217" s="215"/>
      <x:c r="Q217" s="222" t="str">
        <x:f>IF($E217="","",IF(OR(RIGHT(UPPER(TRIM(SUBSTITUTE(CLEAN($E217),CHAR(160)," "))),2)="P1",RIGHT(UPPER(TRIM(SUBSTITUTE(CLEAN($E217),CHAR(160)," "))),2)="P2",RIGHT(UPPER(TRIM(SUBSTITUTE(CLEAN($E217),CHAR(160)," "))),2)="P3",RIGHT(UPPER(TRIM(SUBSTITUTE(CLEAN($E217),CHAR(160)," "))),2)="P4",ISNUMBER(SEARCH("INDUSTRIAL HYGIENIST 1 ENVIRONMENT",UPPER(TRIM(SUBSTITUTE(CLEAN($E217),CHAR(160)," ")))))),"PS","GS"))</x:f>
      </x:c>
      <x:c r="R217" s="223" t="str">
        <x:f>IF($Q217="","",IF($Q217="PS",'Data'!$O$5,'Data'!$O$4))</x:f>
      </x:c>
      <x:c r="S217" s="224" t="str">
        <x:f>IF($E217="","",IFERROR(VLOOKUP($E217,'Data'!$A$2:$B$114,2,FALSE),""))</x:f>
      </x:c>
      <x:c r="T217" s="217" t="str">
        <x:f>IF($K217="","",VLOOKUP($K217,'Data'!$I$2:$L$6,2,TRUE))</x:f>
      </x:c>
      <x:c r="U217" s="217"/>
      <x:c r="V217" s="221" t="str">
        <x:f>IF($L217="","",$J217*$L217)</x:f>
      </x:c>
      <x:c r="W217" s="221" t="str">
        <x:f>IF($V217="","",$J217+$V217)</x:f>
      </x:c>
      <x:c r="X217" s="217" t="str">
        <x:f>IF($Y217="Ready","Review and inform supplier","")</x:f>
      </x:c>
      <x:c r="Y217" s="217" t="str">
        <x:f>IF(AND($B217="",$E217="",$I217=""),"",IF($B217="","Missing Assignment Number",IF($E217="","Select Job Title",IF($I217="","Enter Pay Rate",IF($S217="","Job Title not found","Ready")))))</x:f>
      </x:c>
    </x:row>
    <x:row r="218" ht="22" customHeight="1">
      <x:c r="A218" s="205"/>
      <x:c r="B218" s="205"/>
      <x:c r="C218" s="206"/>
      <x:c r="D218" s="205"/>
      <x:c r="E218" s="207"/>
      <x:c r="F218" s="208"/>
      <x:c r="G218" s="209" t="str">
        <x:f>IF($S218="","",IFERROR(VLOOKUP($S218,'Data'!$D$2:$G$14,3,FALSE),""))</x:f>
      </x:c>
      <x:c r="H218" s="210" t="str">
        <x:f>IF($G218="","",$G218/'Data'!$O$2/'Data'!$O$3)</x:f>
      </x:c>
      <x:c r="I218" s="211"/>
      <x:c r="J218" s="209" t="str">
        <x:f>IF(OR($E218="",$I218=""),"",$I218*'Data'!$O$2*'Data'!$O$3)</x:f>
      </x:c>
      <x:c r="K218" s="212" t="str">
        <x:f>IF(OR($J218="",$G218=""),"",$J218/$G218)</x:f>
      </x:c>
      <x:c r="L218" s="213" t="str">
        <x:f>IF($K218="","",VLOOKUP($K218,'Data'!$I$2:$L$6,3,TRUE))</x:f>
      </x:c>
      <x:c r="M218" s="210" t="str">
        <x:f>IF($L218="","",$I218*$L218)</x:f>
      </x:c>
      <x:c r="N218" s="214" t="str">
        <x:f>IF($M218="","",ROUNDDOWN($I218+$M218,2))</x:f>
      </x:c>
      <x:c r="O218" s="210" t="str">
        <x:f>IF($N218="","",ROUNDDOWN(ROUNDDOWN($N218,2)*$R218,3))</x:f>
      </x:c>
      <x:c r="P218" s="215"/>
      <x:c r="Q218" s="222" t="str">
        <x:f>IF($E218="","",IF(OR(RIGHT(UPPER(TRIM(SUBSTITUTE(CLEAN($E218),CHAR(160)," "))),2)="P1",RIGHT(UPPER(TRIM(SUBSTITUTE(CLEAN($E218),CHAR(160)," "))),2)="P2",RIGHT(UPPER(TRIM(SUBSTITUTE(CLEAN($E218),CHAR(160)," "))),2)="P3",RIGHT(UPPER(TRIM(SUBSTITUTE(CLEAN($E218),CHAR(160)," "))),2)="P4",ISNUMBER(SEARCH("INDUSTRIAL HYGIENIST 1 ENVIRONMENT",UPPER(TRIM(SUBSTITUTE(CLEAN($E218),CHAR(160)," ")))))),"PS","GS"))</x:f>
      </x:c>
      <x:c r="R218" s="223" t="str">
        <x:f>IF($Q218="","",IF($Q218="PS",'Data'!$O$5,'Data'!$O$4))</x:f>
      </x:c>
      <x:c r="S218" s="224" t="str">
        <x:f>IF($E218="","",IFERROR(VLOOKUP($E218,'Data'!$A$2:$B$114,2,FALSE),""))</x:f>
      </x:c>
      <x:c r="T218" s="217" t="str">
        <x:f>IF($K218="","",VLOOKUP($K218,'Data'!$I$2:$L$6,2,TRUE))</x:f>
      </x:c>
      <x:c r="U218" s="217"/>
      <x:c r="V218" s="221" t="str">
        <x:f>IF($L218="","",$J218*$L218)</x:f>
      </x:c>
      <x:c r="W218" s="221" t="str">
        <x:f>IF($V218="","",$J218+$V218)</x:f>
      </x:c>
      <x:c r="X218" s="217" t="str">
        <x:f>IF($Y218="Ready","Review and inform supplier","")</x:f>
      </x:c>
      <x:c r="Y218" s="217" t="str">
        <x:f>IF(AND($B218="",$E218="",$I218=""),"",IF($B218="","Missing Assignment Number",IF($E218="","Select Job Title",IF($I218="","Enter Pay Rate",IF($S218="","Job Title not found","Ready")))))</x:f>
      </x:c>
    </x:row>
    <x:row r="219" ht="22" customHeight="1">
      <x:c r="A219" s="205"/>
      <x:c r="B219" s="205"/>
      <x:c r="C219" s="206"/>
      <x:c r="D219" s="205"/>
      <x:c r="E219" s="207"/>
      <x:c r="F219" s="208"/>
      <x:c r="G219" s="209" t="str">
        <x:f>IF($S219="","",IFERROR(VLOOKUP($S219,'Data'!$D$2:$G$14,3,FALSE),""))</x:f>
      </x:c>
      <x:c r="H219" s="210" t="str">
        <x:f>IF($G219="","",$G219/'Data'!$O$2/'Data'!$O$3)</x:f>
      </x:c>
      <x:c r="I219" s="211"/>
      <x:c r="J219" s="209" t="str">
        <x:f>IF(OR($E219="",$I219=""),"",$I219*'Data'!$O$2*'Data'!$O$3)</x:f>
      </x:c>
      <x:c r="K219" s="212" t="str">
        <x:f>IF(OR($J219="",$G219=""),"",$J219/$G219)</x:f>
      </x:c>
      <x:c r="L219" s="213" t="str">
        <x:f>IF($K219="","",VLOOKUP($K219,'Data'!$I$2:$L$6,3,TRUE))</x:f>
      </x:c>
      <x:c r="M219" s="210" t="str">
        <x:f>IF($L219="","",$I219*$L219)</x:f>
      </x:c>
      <x:c r="N219" s="214" t="str">
        <x:f>IF($M219="","",ROUNDDOWN($I219+$M219,2))</x:f>
      </x:c>
      <x:c r="O219" s="210" t="str">
        <x:f>IF($N219="","",ROUNDDOWN(ROUNDDOWN($N219,2)*$R219,3))</x:f>
      </x:c>
      <x:c r="P219" s="215"/>
      <x:c r="Q219" s="222" t="str">
        <x:f>IF($E219="","",IF(OR(RIGHT(UPPER(TRIM(SUBSTITUTE(CLEAN($E219),CHAR(160)," "))),2)="P1",RIGHT(UPPER(TRIM(SUBSTITUTE(CLEAN($E219),CHAR(160)," "))),2)="P2",RIGHT(UPPER(TRIM(SUBSTITUTE(CLEAN($E219),CHAR(160)," "))),2)="P3",RIGHT(UPPER(TRIM(SUBSTITUTE(CLEAN($E219),CHAR(160)," "))),2)="P4",ISNUMBER(SEARCH("INDUSTRIAL HYGIENIST 1 ENVIRONMENT",UPPER(TRIM(SUBSTITUTE(CLEAN($E219),CHAR(160)," ")))))),"PS","GS"))</x:f>
      </x:c>
      <x:c r="R219" s="223" t="str">
        <x:f>IF($Q219="","",IF($Q219="PS",'Data'!$O$5,'Data'!$O$4))</x:f>
      </x:c>
      <x:c r="S219" s="224" t="str">
        <x:f>IF($E219="","",IFERROR(VLOOKUP($E219,'Data'!$A$2:$B$114,2,FALSE),""))</x:f>
      </x:c>
      <x:c r="T219" s="217" t="str">
        <x:f>IF($K219="","",VLOOKUP($K219,'Data'!$I$2:$L$6,2,TRUE))</x:f>
      </x:c>
      <x:c r="U219" s="217"/>
      <x:c r="V219" s="221" t="str">
        <x:f>IF($L219="","",$J219*$L219)</x:f>
      </x:c>
      <x:c r="W219" s="221" t="str">
        <x:f>IF($V219="","",$J219+$V219)</x:f>
      </x:c>
      <x:c r="X219" s="217" t="str">
        <x:f>IF($Y219="Ready","Review and inform supplier","")</x:f>
      </x:c>
      <x:c r="Y219" s="217" t="str">
        <x:f>IF(AND($B219="",$E219="",$I219=""),"",IF($B219="","Missing Assignment Number",IF($E219="","Select Job Title",IF($I219="","Enter Pay Rate",IF($S219="","Job Title not found","Ready")))))</x:f>
      </x:c>
    </x:row>
    <x:row r="220" ht="22" customHeight="1">
      <x:c r="A220" s="205"/>
      <x:c r="B220" s="205"/>
      <x:c r="C220" s="206"/>
      <x:c r="D220" s="205"/>
      <x:c r="E220" s="207"/>
      <x:c r="F220" s="208"/>
      <x:c r="G220" s="209" t="str">
        <x:f>IF($S220="","",IFERROR(VLOOKUP($S220,'Data'!$D$2:$G$14,3,FALSE),""))</x:f>
      </x:c>
      <x:c r="H220" s="210" t="str">
        <x:f>IF($G220="","",$G220/'Data'!$O$2/'Data'!$O$3)</x:f>
      </x:c>
      <x:c r="I220" s="211"/>
      <x:c r="J220" s="209" t="str">
        <x:f>IF(OR($E220="",$I220=""),"",$I220*'Data'!$O$2*'Data'!$O$3)</x:f>
      </x:c>
      <x:c r="K220" s="212" t="str">
        <x:f>IF(OR($J220="",$G220=""),"",$J220/$G220)</x:f>
      </x:c>
      <x:c r="L220" s="213" t="str">
        <x:f>IF($K220="","",VLOOKUP($K220,'Data'!$I$2:$L$6,3,TRUE))</x:f>
      </x:c>
      <x:c r="M220" s="210" t="str">
        <x:f>IF($L220="","",$I220*$L220)</x:f>
      </x:c>
      <x:c r="N220" s="214" t="str">
        <x:f>IF($M220="","",ROUNDDOWN($I220+$M220,2))</x:f>
      </x:c>
      <x:c r="O220" s="210" t="str">
        <x:f>IF($N220="","",ROUNDDOWN(ROUNDDOWN($N220,2)*$R220,3))</x:f>
      </x:c>
      <x:c r="P220" s="215"/>
      <x:c r="Q220" s="222" t="str">
        <x:f>IF($E220="","",IF(OR(RIGHT(UPPER(TRIM(SUBSTITUTE(CLEAN($E220),CHAR(160)," "))),2)="P1",RIGHT(UPPER(TRIM(SUBSTITUTE(CLEAN($E220),CHAR(160)," "))),2)="P2",RIGHT(UPPER(TRIM(SUBSTITUTE(CLEAN($E220),CHAR(160)," "))),2)="P3",RIGHT(UPPER(TRIM(SUBSTITUTE(CLEAN($E220),CHAR(160)," "))),2)="P4",ISNUMBER(SEARCH("INDUSTRIAL HYGIENIST 1 ENVIRONMENT",UPPER(TRIM(SUBSTITUTE(CLEAN($E220),CHAR(160)," ")))))),"PS","GS"))</x:f>
      </x:c>
      <x:c r="R220" s="223" t="str">
        <x:f>IF($Q220="","",IF($Q220="PS",'Data'!$O$5,'Data'!$O$4))</x:f>
      </x:c>
      <x:c r="S220" s="224" t="str">
        <x:f>IF($E220="","",IFERROR(VLOOKUP($E220,'Data'!$A$2:$B$114,2,FALSE),""))</x:f>
      </x:c>
      <x:c r="T220" s="217" t="str">
        <x:f>IF($K220="","",VLOOKUP($K220,'Data'!$I$2:$L$6,2,TRUE))</x:f>
      </x:c>
      <x:c r="U220" s="217"/>
      <x:c r="V220" s="221" t="str">
        <x:f>IF($L220="","",$J220*$L220)</x:f>
      </x:c>
      <x:c r="W220" s="221" t="str">
        <x:f>IF($V220="","",$J220+$V220)</x:f>
      </x:c>
      <x:c r="X220" s="217" t="str">
        <x:f>IF($Y220="Ready","Review and inform supplier","")</x:f>
      </x:c>
      <x:c r="Y220" s="217" t="str">
        <x:f>IF(AND($B220="",$E220="",$I220=""),"",IF($B220="","Missing Assignment Number",IF($E220="","Select Job Title",IF($I220="","Enter Pay Rate",IF($S220="","Job Title not found","Ready")))))</x:f>
      </x:c>
    </x:row>
    <x:row r="221" ht="22" customHeight="1">
      <x:c r="A221" s="205"/>
      <x:c r="B221" s="205"/>
      <x:c r="C221" s="206"/>
      <x:c r="D221" s="205"/>
      <x:c r="E221" s="207"/>
      <x:c r="F221" s="208"/>
      <x:c r="G221" s="209" t="str">
        <x:f>IF($S221="","",IFERROR(VLOOKUP($S221,'Data'!$D$2:$G$14,3,FALSE),""))</x:f>
      </x:c>
      <x:c r="H221" s="210" t="str">
        <x:f>IF($G221="","",$G221/'Data'!$O$2/'Data'!$O$3)</x:f>
      </x:c>
      <x:c r="I221" s="211"/>
      <x:c r="J221" s="209" t="str">
        <x:f>IF(OR($E221="",$I221=""),"",$I221*'Data'!$O$2*'Data'!$O$3)</x:f>
      </x:c>
      <x:c r="K221" s="212" t="str">
        <x:f>IF(OR($J221="",$G221=""),"",$J221/$G221)</x:f>
      </x:c>
      <x:c r="L221" s="213" t="str">
        <x:f>IF($K221="","",VLOOKUP($K221,'Data'!$I$2:$L$6,3,TRUE))</x:f>
      </x:c>
      <x:c r="M221" s="210" t="str">
        <x:f>IF($L221="","",$I221*$L221)</x:f>
      </x:c>
      <x:c r="N221" s="214" t="str">
        <x:f>IF($M221="","",ROUNDDOWN($I221+$M221,2))</x:f>
      </x:c>
      <x:c r="O221" s="210" t="str">
        <x:f>IF($N221="","",ROUNDDOWN(ROUNDDOWN($N221,2)*$R221,3))</x:f>
      </x:c>
      <x:c r="P221" s="215"/>
      <x:c r="Q221" s="222" t="str">
        <x:f>IF($E221="","",IF(OR(RIGHT(UPPER(TRIM(SUBSTITUTE(CLEAN($E221),CHAR(160)," "))),2)="P1",RIGHT(UPPER(TRIM(SUBSTITUTE(CLEAN($E221),CHAR(160)," "))),2)="P2",RIGHT(UPPER(TRIM(SUBSTITUTE(CLEAN($E221),CHAR(160)," "))),2)="P3",RIGHT(UPPER(TRIM(SUBSTITUTE(CLEAN($E221),CHAR(160)," "))),2)="P4",ISNUMBER(SEARCH("INDUSTRIAL HYGIENIST 1 ENVIRONMENT",UPPER(TRIM(SUBSTITUTE(CLEAN($E221),CHAR(160)," ")))))),"PS","GS"))</x:f>
      </x:c>
      <x:c r="R221" s="223" t="str">
        <x:f>IF($Q221="","",IF($Q221="PS",'Data'!$O$5,'Data'!$O$4))</x:f>
      </x:c>
      <x:c r="S221" s="224" t="str">
        <x:f>IF($E221="","",IFERROR(VLOOKUP($E221,'Data'!$A$2:$B$114,2,FALSE),""))</x:f>
      </x:c>
      <x:c r="T221" s="217" t="str">
        <x:f>IF($K221="","",VLOOKUP($K221,'Data'!$I$2:$L$6,2,TRUE))</x:f>
      </x:c>
      <x:c r="U221" s="217"/>
      <x:c r="V221" s="221" t="str">
        <x:f>IF($L221="","",$J221*$L221)</x:f>
      </x:c>
      <x:c r="W221" s="221" t="str">
        <x:f>IF($V221="","",$J221+$V221)</x:f>
      </x:c>
      <x:c r="X221" s="217" t="str">
        <x:f>IF($Y221="Ready","Review and inform supplier","")</x:f>
      </x:c>
      <x:c r="Y221" s="217" t="str">
        <x:f>IF(AND($B221="",$E221="",$I221=""),"",IF($B221="","Missing Assignment Number",IF($E221="","Select Job Title",IF($I221="","Enter Pay Rate",IF($S221="","Job Title not found","Ready")))))</x:f>
      </x:c>
    </x:row>
    <x:row r="222" ht="22" customHeight="1">
      <x:c r="A222" s="205"/>
      <x:c r="B222" s="205"/>
      <x:c r="C222" s="206"/>
      <x:c r="D222" s="205"/>
      <x:c r="E222" s="207"/>
      <x:c r="F222" s="208"/>
      <x:c r="G222" s="209" t="str">
        <x:f>IF($S222="","",IFERROR(VLOOKUP($S222,'Data'!$D$2:$G$14,3,FALSE),""))</x:f>
      </x:c>
      <x:c r="H222" s="210" t="str">
        <x:f>IF($G222="","",$G222/'Data'!$O$2/'Data'!$O$3)</x:f>
      </x:c>
      <x:c r="I222" s="211"/>
      <x:c r="J222" s="209" t="str">
        <x:f>IF(OR($E222="",$I222=""),"",$I222*'Data'!$O$2*'Data'!$O$3)</x:f>
      </x:c>
      <x:c r="K222" s="212" t="str">
        <x:f>IF(OR($J222="",$G222=""),"",$J222/$G222)</x:f>
      </x:c>
      <x:c r="L222" s="213" t="str">
        <x:f>IF($K222="","",VLOOKUP($K222,'Data'!$I$2:$L$6,3,TRUE))</x:f>
      </x:c>
      <x:c r="M222" s="210" t="str">
        <x:f>IF($L222="","",$I222*$L222)</x:f>
      </x:c>
      <x:c r="N222" s="214" t="str">
        <x:f>IF($M222="","",ROUNDDOWN($I222+$M222,2))</x:f>
      </x:c>
      <x:c r="O222" s="210" t="str">
        <x:f>IF($N222="","",ROUNDDOWN(ROUNDDOWN($N222,2)*$R222,3))</x:f>
      </x:c>
      <x:c r="P222" s="215"/>
      <x:c r="Q222" s="222" t="str">
        <x:f>IF($E222="","",IF(OR(RIGHT(UPPER(TRIM(SUBSTITUTE(CLEAN($E222),CHAR(160)," "))),2)="P1",RIGHT(UPPER(TRIM(SUBSTITUTE(CLEAN($E222),CHAR(160)," "))),2)="P2",RIGHT(UPPER(TRIM(SUBSTITUTE(CLEAN($E222),CHAR(160)," "))),2)="P3",RIGHT(UPPER(TRIM(SUBSTITUTE(CLEAN($E222),CHAR(160)," "))),2)="P4",ISNUMBER(SEARCH("INDUSTRIAL HYGIENIST 1 ENVIRONMENT",UPPER(TRIM(SUBSTITUTE(CLEAN($E222),CHAR(160)," ")))))),"PS","GS"))</x:f>
      </x:c>
      <x:c r="R222" s="223" t="str">
        <x:f>IF($Q222="","",IF($Q222="PS",'Data'!$O$5,'Data'!$O$4))</x:f>
      </x:c>
      <x:c r="S222" s="224" t="str">
        <x:f>IF($E222="","",IFERROR(VLOOKUP($E222,'Data'!$A$2:$B$114,2,FALSE),""))</x:f>
      </x:c>
      <x:c r="T222" s="217" t="str">
        <x:f>IF($K222="","",VLOOKUP($K222,'Data'!$I$2:$L$6,2,TRUE))</x:f>
      </x:c>
      <x:c r="U222" s="217"/>
      <x:c r="V222" s="221" t="str">
        <x:f>IF($L222="","",$J222*$L222)</x:f>
      </x:c>
      <x:c r="W222" s="221" t="str">
        <x:f>IF($V222="","",$J222+$V222)</x:f>
      </x:c>
      <x:c r="X222" s="217" t="str">
        <x:f>IF($Y222="Ready","Review and inform supplier","")</x:f>
      </x:c>
      <x:c r="Y222" s="217" t="str">
        <x:f>IF(AND($B222="",$E222="",$I222=""),"",IF($B222="","Missing Assignment Number",IF($E222="","Select Job Title",IF($I222="","Enter Pay Rate",IF($S222="","Job Title not found","Ready")))))</x:f>
      </x:c>
    </x:row>
    <x:row r="223" ht="22" customHeight="1">
      <x:c r="A223" s="205"/>
      <x:c r="B223" s="205"/>
      <x:c r="C223" s="206"/>
      <x:c r="D223" s="205"/>
      <x:c r="E223" s="207"/>
      <x:c r="F223" s="208"/>
      <x:c r="G223" s="209" t="str">
        <x:f>IF($S223="","",IFERROR(VLOOKUP($S223,'Data'!$D$2:$G$14,3,FALSE),""))</x:f>
      </x:c>
      <x:c r="H223" s="210" t="str">
        <x:f>IF($G223="","",$G223/'Data'!$O$2/'Data'!$O$3)</x:f>
      </x:c>
      <x:c r="I223" s="211"/>
      <x:c r="J223" s="209" t="str">
        <x:f>IF(OR($E223="",$I223=""),"",$I223*'Data'!$O$2*'Data'!$O$3)</x:f>
      </x:c>
      <x:c r="K223" s="212" t="str">
        <x:f>IF(OR($J223="",$G223=""),"",$J223/$G223)</x:f>
      </x:c>
      <x:c r="L223" s="213" t="str">
        <x:f>IF($K223="","",VLOOKUP($K223,'Data'!$I$2:$L$6,3,TRUE))</x:f>
      </x:c>
      <x:c r="M223" s="210" t="str">
        <x:f>IF($L223="","",$I223*$L223)</x:f>
      </x:c>
      <x:c r="N223" s="214" t="str">
        <x:f>IF($M223="","",ROUNDDOWN($I223+$M223,2))</x:f>
      </x:c>
      <x:c r="O223" s="210" t="str">
        <x:f>IF($N223="","",ROUNDDOWN(ROUNDDOWN($N223,2)*$R223,3))</x:f>
      </x:c>
      <x:c r="P223" s="215"/>
      <x:c r="Q223" s="222" t="str">
        <x:f>IF($E223="","",IF(OR(RIGHT(UPPER(TRIM(SUBSTITUTE(CLEAN($E223),CHAR(160)," "))),2)="P1",RIGHT(UPPER(TRIM(SUBSTITUTE(CLEAN($E223),CHAR(160)," "))),2)="P2",RIGHT(UPPER(TRIM(SUBSTITUTE(CLEAN($E223),CHAR(160)," "))),2)="P3",RIGHT(UPPER(TRIM(SUBSTITUTE(CLEAN($E223),CHAR(160)," "))),2)="P4",ISNUMBER(SEARCH("INDUSTRIAL HYGIENIST 1 ENVIRONMENT",UPPER(TRIM(SUBSTITUTE(CLEAN($E223),CHAR(160)," ")))))),"PS","GS"))</x:f>
      </x:c>
      <x:c r="R223" s="223" t="str">
        <x:f>IF($Q223="","",IF($Q223="PS",'Data'!$O$5,'Data'!$O$4))</x:f>
      </x:c>
      <x:c r="S223" s="224" t="str">
        <x:f>IF($E223="","",IFERROR(VLOOKUP($E223,'Data'!$A$2:$B$114,2,FALSE),""))</x:f>
      </x:c>
      <x:c r="T223" s="217" t="str">
        <x:f>IF($K223="","",VLOOKUP($K223,'Data'!$I$2:$L$6,2,TRUE))</x:f>
      </x:c>
      <x:c r="U223" s="217"/>
      <x:c r="V223" s="221" t="str">
        <x:f>IF($L223="","",$J223*$L223)</x:f>
      </x:c>
      <x:c r="W223" s="221" t="str">
        <x:f>IF($V223="","",$J223+$V223)</x:f>
      </x:c>
      <x:c r="X223" s="217" t="str">
        <x:f>IF($Y223="Ready","Review and inform supplier","")</x:f>
      </x:c>
      <x:c r="Y223" s="217" t="str">
        <x:f>IF(AND($B223="",$E223="",$I223=""),"",IF($B223="","Missing Assignment Number",IF($E223="","Select Job Title",IF($I223="","Enter Pay Rate",IF($S223="","Job Title not found","Ready")))))</x:f>
      </x:c>
    </x:row>
    <x:row r="224" ht="22" customHeight="1">
      <x:c r="A224" s="205"/>
      <x:c r="B224" s="205"/>
      <x:c r="C224" s="206"/>
      <x:c r="D224" s="205"/>
      <x:c r="E224" s="207"/>
      <x:c r="F224" s="208"/>
      <x:c r="G224" s="209" t="str">
        <x:f>IF($S224="","",IFERROR(VLOOKUP($S224,'Data'!$D$2:$G$14,3,FALSE),""))</x:f>
      </x:c>
      <x:c r="H224" s="210" t="str">
        <x:f>IF($G224="","",$G224/'Data'!$O$2/'Data'!$O$3)</x:f>
      </x:c>
      <x:c r="I224" s="211"/>
      <x:c r="J224" s="209" t="str">
        <x:f>IF(OR($E224="",$I224=""),"",$I224*'Data'!$O$2*'Data'!$O$3)</x:f>
      </x:c>
      <x:c r="K224" s="212" t="str">
        <x:f>IF(OR($J224="",$G224=""),"",$J224/$G224)</x:f>
      </x:c>
      <x:c r="L224" s="213" t="str">
        <x:f>IF($K224="","",VLOOKUP($K224,'Data'!$I$2:$L$6,3,TRUE))</x:f>
      </x:c>
      <x:c r="M224" s="210" t="str">
        <x:f>IF($L224="","",$I224*$L224)</x:f>
      </x:c>
      <x:c r="N224" s="214" t="str">
        <x:f>IF($M224="","",ROUNDDOWN($I224+$M224,2))</x:f>
      </x:c>
      <x:c r="O224" s="210" t="str">
        <x:f>IF($N224="","",ROUNDDOWN(ROUNDDOWN($N224,2)*$R224,3))</x:f>
      </x:c>
      <x:c r="P224" s="215"/>
      <x:c r="Q224" s="222" t="str">
        <x:f>IF($E224="","",IF(OR(RIGHT(UPPER(TRIM(SUBSTITUTE(CLEAN($E224),CHAR(160)," "))),2)="P1",RIGHT(UPPER(TRIM(SUBSTITUTE(CLEAN($E224),CHAR(160)," "))),2)="P2",RIGHT(UPPER(TRIM(SUBSTITUTE(CLEAN($E224),CHAR(160)," "))),2)="P3",RIGHT(UPPER(TRIM(SUBSTITUTE(CLEAN($E224),CHAR(160)," "))),2)="P4",ISNUMBER(SEARCH("INDUSTRIAL HYGIENIST 1 ENVIRONMENT",UPPER(TRIM(SUBSTITUTE(CLEAN($E224),CHAR(160)," ")))))),"PS","GS"))</x:f>
      </x:c>
      <x:c r="R224" s="223" t="str">
        <x:f>IF($Q224="","",IF($Q224="PS",'Data'!$O$5,'Data'!$O$4))</x:f>
      </x:c>
      <x:c r="S224" s="224" t="str">
        <x:f>IF($E224="","",IFERROR(VLOOKUP($E224,'Data'!$A$2:$B$114,2,FALSE),""))</x:f>
      </x:c>
      <x:c r="T224" s="217" t="str">
        <x:f>IF($K224="","",VLOOKUP($K224,'Data'!$I$2:$L$6,2,TRUE))</x:f>
      </x:c>
      <x:c r="U224" s="217"/>
      <x:c r="V224" s="221" t="str">
        <x:f>IF($L224="","",$J224*$L224)</x:f>
      </x:c>
      <x:c r="W224" s="221" t="str">
        <x:f>IF($V224="","",$J224+$V224)</x:f>
      </x:c>
      <x:c r="X224" s="217" t="str">
        <x:f>IF($Y224="Ready","Review and inform supplier","")</x:f>
      </x:c>
      <x:c r="Y224" s="217" t="str">
        <x:f>IF(AND($B224="",$E224="",$I224=""),"",IF($B224="","Missing Assignment Number",IF($E224="","Select Job Title",IF($I224="","Enter Pay Rate",IF($S224="","Job Title not found","Ready")))))</x:f>
      </x:c>
    </x:row>
    <x:row r="225" ht="22" customHeight="1">
      <x:c r="A225" s="205"/>
      <x:c r="B225" s="205"/>
      <x:c r="C225" s="206"/>
      <x:c r="D225" s="205"/>
      <x:c r="E225" s="207"/>
      <x:c r="F225" s="208"/>
      <x:c r="G225" s="209" t="str">
        <x:f>IF($S225="","",IFERROR(VLOOKUP($S225,'Data'!$D$2:$G$14,3,FALSE),""))</x:f>
      </x:c>
      <x:c r="H225" s="210" t="str">
        <x:f>IF($G225="","",$G225/'Data'!$O$2/'Data'!$O$3)</x:f>
      </x:c>
      <x:c r="I225" s="211"/>
      <x:c r="J225" s="209" t="str">
        <x:f>IF(OR($E225="",$I225=""),"",$I225*'Data'!$O$2*'Data'!$O$3)</x:f>
      </x:c>
      <x:c r="K225" s="212" t="str">
        <x:f>IF(OR($J225="",$G225=""),"",$J225/$G225)</x:f>
      </x:c>
      <x:c r="L225" s="213" t="str">
        <x:f>IF($K225="","",VLOOKUP($K225,'Data'!$I$2:$L$6,3,TRUE))</x:f>
      </x:c>
      <x:c r="M225" s="210" t="str">
        <x:f>IF($L225="","",$I225*$L225)</x:f>
      </x:c>
      <x:c r="N225" s="214" t="str">
        <x:f>IF($M225="","",ROUNDDOWN($I225+$M225,2))</x:f>
      </x:c>
      <x:c r="O225" s="210" t="str">
        <x:f>IF($N225="","",ROUNDDOWN(ROUNDDOWN($N225,2)*$R225,3))</x:f>
      </x:c>
      <x:c r="P225" s="215"/>
      <x:c r="Q225" s="222" t="str">
        <x:f>IF($E225="","",IF(OR(RIGHT(UPPER(TRIM(SUBSTITUTE(CLEAN($E225),CHAR(160)," "))),2)="P1",RIGHT(UPPER(TRIM(SUBSTITUTE(CLEAN($E225),CHAR(160)," "))),2)="P2",RIGHT(UPPER(TRIM(SUBSTITUTE(CLEAN($E225),CHAR(160)," "))),2)="P3",RIGHT(UPPER(TRIM(SUBSTITUTE(CLEAN($E225),CHAR(160)," "))),2)="P4",ISNUMBER(SEARCH("INDUSTRIAL HYGIENIST 1 ENVIRONMENT",UPPER(TRIM(SUBSTITUTE(CLEAN($E225),CHAR(160)," ")))))),"PS","GS"))</x:f>
      </x:c>
      <x:c r="R225" s="223" t="str">
        <x:f>IF($Q225="","",IF($Q225="PS",'Data'!$O$5,'Data'!$O$4))</x:f>
      </x:c>
      <x:c r="S225" s="224" t="str">
        <x:f>IF($E225="","",IFERROR(VLOOKUP($E225,'Data'!$A$2:$B$114,2,FALSE),""))</x:f>
      </x:c>
      <x:c r="T225" s="217" t="str">
        <x:f>IF($K225="","",VLOOKUP($K225,'Data'!$I$2:$L$6,2,TRUE))</x:f>
      </x:c>
      <x:c r="U225" s="217"/>
      <x:c r="V225" s="221" t="str">
        <x:f>IF($L225="","",$J225*$L225)</x:f>
      </x:c>
      <x:c r="W225" s="221" t="str">
        <x:f>IF($V225="","",$J225+$V225)</x:f>
      </x:c>
      <x:c r="X225" s="217" t="str">
        <x:f>IF($Y225="Ready","Review and inform supplier","")</x:f>
      </x:c>
      <x:c r="Y225" s="217" t="str">
        <x:f>IF(AND($B225="",$E225="",$I225=""),"",IF($B225="","Missing Assignment Number",IF($E225="","Select Job Title",IF($I225="","Enter Pay Rate",IF($S225="","Job Title not found","Ready")))))</x:f>
      </x:c>
    </x:row>
    <x:row r="226" ht="22" customHeight="1">
      <x:c r="A226" s="205"/>
      <x:c r="B226" s="205"/>
      <x:c r="C226" s="206"/>
      <x:c r="D226" s="205"/>
      <x:c r="E226" s="207"/>
      <x:c r="F226" s="208"/>
      <x:c r="G226" s="209" t="str">
        <x:f>IF($S226="","",IFERROR(VLOOKUP($S226,'Data'!$D$2:$G$14,3,FALSE),""))</x:f>
      </x:c>
      <x:c r="H226" s="210" t="str">
        <x:f>IF($G226="","",$G226/'Data'!$O$2/'Data'!$O$3)</x:f>
      </x:c>
      <x:c r="I226" s="211"/>
      <x:c r="J226" s="209" t="str">
        <x:f>IF(OR($E226="",$I226=""),"",$I226*'Data'!$O$2*'Data'!$O$3)</x:f>
      </x:c>
      <x:c r="K226" s="212" t="str">
        <x:f>IF(OR($J226="",$G226=""),"",$J226/$G226)</x:f>
      </x:c>
      <x:c r="L226" s="213" t="str">
        <x:f>IF($K226="","",VLOOKUP($K226,'Data'!$I$2:$L$6,3,TRUE))</x:f>
      </x:c>
      <x:c r="M226" s="210" t="str">
        <x:f>IF($L226="","",$I226*$L226)</x:f>
      </x:c>
      <x:c r="N226" s="214" t="str">
        <x:f>IF($M226="","",ROUNDDOWN($I226+$M226,2))</x:f>
      </x:c>
      <x:c r="O226" s="210" t="str">
        <x:f>IF($N226="","",ROUNDDOWN(ROUNDDOWN($N226,2)*$R226,3))</x:f>
      </x:c>
      <x:c r="P226" s="215"/>
      <x:c r="Q226" s="222" t="str">
        <x:f>IF($E226="","",IF(OR(RIGHT(UPPER(TRIM(SUBSTITUTE(CLEAN($E226),CHAR(160)," "))),2)="P1",RIGHT(UPPER(TRIM(SUBSTITUTE(CLEAN($E226),CHAR(160)," "))),2)="P2",RIGHT(UPPER(TRIM(SUBSTITUTE(CLEAN($E226),CHAR(160)," "))),2)="P3",RIGHT(UPPER(TRIM(SUBSTITUTE(CLEAN($E226),CHAR(160)," "))),2)="P4",ISNUMBER(SEARCH("INDUSTRIAL HYGIENIST 1 ENVIRONMENT",UPPER(TRIM(SUBSTITUTE(CLEAN($E226),CHAR(160)," ")))))),"PS","GS"))</x:f>
      </x:c>
      <x:c r="R226" s="223" t="str">
        <x:f>IF($Q226="","",IF($Q226="PS",'Data'!$O$5,'Data'!$O$4))</x:f>
      </x:c>
      <x:c r="S226" s="224" t="str">
        <x:f>IF($E226="","",IFERROR(VLOOKUP($E226,'Data'!$A$2:$B$114,2,FALSE),""))</x:f>
      </x:c>
      <x:c r="T226" s="217" t="str">
        <x:f>IF($K226="","",VLOOKUP($K226,'Data'!$I$2:$L$6,2,TRUE))</x:f>
      </x:c>
      <x:c r="U226" s="217"/>
      <x:c r="V226" s="221" t="str">
        <x:f>IF($L226="","",$J226*$L226)</x:f>
      </x:c>
      <x:c r="W226" s="221" t="str">
        <x:f>IF($V226="","",$J226+$V226)</x:f>
      </x:c>
      <x:c r="X226" s="217" t="str">
        <x:f>IF($Y226="Ready","Review and inform supplier","")</x:f>
      </x:c>
      <x:c r="Y226" s="217" t="str">
        <x:f>IF(AND($B226="",$E226="",$I226=""),"",IF($B226="","Missing Assignment Number",IF($E226="","Select Job Title",IF($I226="","Enter Pay Rate",IF($S226="","Job Title not found","Ready")))))</x:f>
      </x:c>
    </x:row>
    <x:row r="227" ht="22" customHeight="1">
      <x:c r="A227" s="205"/>
      <x:c r="B227" s="205"/>
      <x:c r="C227" s="206"/>
      <x:c r="D227" s="205"/>
      <x:c r="E227" s="207"/>
      <x:c r="F227" s="208"/>
      <x:c r="G227" s="209" t="str">
        <x:f>IF($S227="","",IFERROR(VLOOKUP($S227,'Data'!$D$2:$G$14,3,FALSE),""))</x:f>
      </x:c>
      <x:c r="H227" s="210" t="str">
        <x:f>IF($G227="","",$G227/'Data'!$O$2/'Data'!$O$3)</x:f>
      </x:c>
      <x:c r="I227" s="211"/>
      <x:c r="J227" s="209" t="str">
        <x:f>IF(OR($E227="",$I227=""),"",$I227*'Data'!$O$2*'Data'!$O$3)</x:f>
      </x:c>
      <x:c r="K227" s="212" t="str">
        <x:f>IF(OR($J227="",$G227=""),"",$J227/$G227)</x:f>
      </x:c>
      <x:c r="L227" s="213" t="str">
        <x:f>IF($K227="","",VLOOKUP($K227,'Data'!$I$2:$L$6,3,TRUE))</x:f>
      </x:c>
      <x:c r="M227" s="210" t="str">
        <x:f>IF($L227="","",$I227*$L227)</x:f>
      </x:c>
      <x:c r="N227" s="214" t="str">
        <x:f>IF($M227="","",ROUNDDOWN($I227+$M227,2))</x:f>
      </x:c>
      <x:c r="O227" s="210" t="str">
        <x:f>IF($N227="","",ROUNDDOWN(ROUNDDOWN($N227,2)*$R227,3))</x:f>
      </x:c>
      <x:c r="P227" s="215"/>
      <x:c r="Q227" s="222" t="str">
        <x:f>IF($E227="","",IF(OR(RIGHT(UPPER(TRIM(SUBSTITUTE(CLEAN($E227),CHAR(160)," "))),2)="P1",RIGHT(UPPER(TRIM(SUBSTITUTE(CLEAN($E227),CHAR(160)," "))),2)="P2",RIGHT(UPPER(TRIM(SUBSTITUTE(CLEAN($E227),CHAR(160)," "))),2)="P3",RIGHT(UPPER(TRIM(SUBSTITUTE(CLEAN($E227),CHAR(160)," "))),2)="P4",ISNUMBER(SEARCH("INDUSTRIAL HYGIENIST 1 ENVIRONMENT",UPPER(TRIM(SUBSTITUTE(CLEAN($E227),CHAR(160)," ")))))),"PS","GS"))</x:f>
      </x:c>
      <x:c r="R227" s="223" t="str">
        <x:f>IF($Q227="","",IF($Q227="PS",'Data'!$O$5,'Data'!$O$4))</x:f>
      </x:c>
      <x:c r="S227" s="224" t="str">
        <x:f>IF($E227="","",IFERROR(VLOOKUP($E227,'Data'!$A$2:$B$114,2,FALSE),""))</x:f>
      </x:c>
      <x:c r="T227" s="217" t="str">
        <x:f>IF($K227="","",VLOOKUP($K227,'Data'!$I$2:$L$6,2,TRUE))</x:f>
      </x:c>
      <x:c r="U227" s="217"/>
      <x:c r="V227" s="221" t="str">
        <x:f>IF($L227="","",$J227*$L227)</x:f>
      </x:c>
      <x:c r="W227" s="221" t="str">
        <x:f>IF($V227="","",$J227+$V227)</x:f>
      </x:c>
      <x:c r="X227" s="217" t="str">
        <x:f>IF($Y227="Ready","Review and inform supplier","")</x:f>
      </x:c>
      <x:c r="Y227" s="217" t="str">
        <x:f>IF(AND($B227="",$E227="",$I227=""),"",IF($B227="","Missing Assignment Number",IF($E227="","Select Job Title",IF($I227="","Enter Pay Rate",IF($S227="","Job Title not found","Ready")))))</x:f>
      </x:c>
    </x:row>
    <x:row r="228" ht="22" customHeight="1">
      <x:c r="A228" s="205"/>
      <x:c r="B228" s="205"/>
      <x:c r="C228" s="206"/>
      <x:c r="D228" s="205"/>
      <x:c r="E228" s="207"/>
      <x:c r="F228" s="208"/>
      <x:c r="G228" s="209" t="str">
        <x:f>IF($S228="","",IFERROR(VLOOKUP($S228,'Data'!$D$2:$G$14,3,FALSE),""))</x:f>
      </x:c>
      <x:c r="H228" s="210" t="str">
        <x:f>IF($G228="","",$G228/'Data'!$O$2/'Data'!$O$3)</x:f>
      </x:c>
      <x:c r="I228" s="211"/>
      <x:c r="J228" s="209" t="str">
        <x:f>IF(OR($E228="",$I228=""),"",$I228*'Data'!$O$2*'Data'!$O$3)</x:f>
      </x:c>
      <x:c r="K228" s="212" t="str">
        <x:f>IF(OR($J228="",$G228=""),"",$J228/$G228)</x:f>
      </x:c>
      <x:c r="L228" s="213" t="str">
        <x:f>IF($K228="","",VLOOKUP($K228,'Data'!$I$2:$L$6,3,TRUE))</x:f>
      </x:c>
      <x:c r="M228" s="210" t="str">
        <x:f>IF($L228="","",$I228*$L228)</x:f>
      </x:c>
      <x:c r="N228" s="214" t="str">
        <x:f>IF($M228="","",ROUNDDOWN($I228+$M228,2))</x:f>
      </x:c>
      <x:c r="O228" s="210" t="str">
        <x:f>IF($N228="","",ROUNDDOWN(ROUNDDOWN($N228,2)*$R228,3))</x:f>
      </x:c>
      <x:c r="P228" s="215"/>
      <x:c r="Q228" s="222" t="str">
        <x:f>IF($E228="","",IF(OR(RIGHT(UPPER(TRIM(SUBSTITUTE(CLEAN($E228),CHAR(160)," "))),2)="P1",RIGHT(UPPER(TRIM(SUBSTITUTE(CLEAN($E228),CHAR(160)," "))),2)="P2",RIGHT(UPPER(TRIM(SUBSTITUTE(CLEAN($E228),CHAR(160)," "))),2)="P3",RIGHT(UPPER(TRIM(SUBSTITUTE(CLEAN($E228),CHAR(160)," "))),2)="P4",ISNUMBER(SEARCH("INDUSTRIAL HYGIENIST 1 ENVIRONMENT",UPPER(TRIM(SUBSTITUTE(CLEAN($E228),CHAR(160)," ")))))),"PS","GS"))</x:f>
      </x:c>
      <x:c r="R228" s="223" t="str">
        <x:f>IF($Q228="","",IF($Q228="PS",'Data'!$O$5,'Data'!$O$4))</x:f>
      </x:c>
      <x:c r="S228" s="224" t="str">
        <x:f>IF($E228="","",IFERROR(VLOOKUP($E228,'Data'!$A$2:$B$114,2,FALSE),""))</x:f>
      </x:c>
      <x:c r="T228" s="217" t="str">
        <x:f>IF($K228="","",VLOOKUP($K228,'Data'!$I$2:$L$6,2,TRUE))</x:f>
      </x:c>
      <x:c r="U228" s="217"/>
      <x:c r="V228" s="221" t="str">
        <x:f>IF($L228="","",$J228*$L228)</x:f>
      </x:c>
      <x:c r="W228" s="221" t="str">
        <x:f>IF($V228="","",$J228+$V228)</x:f>
      </x:c>
      <x:c r="X228" s="217" t="str">
        <x:f>IF($Y228="Ready","Review and inform supplier","")</x:f>
      </x:c>
      <x:c r="Y228" s="217" t="str">
        <x:f>IF(AND($B228="",$E228="",$I228=""),"",IF($B228="","Missing Assignment Number",IF($E228="","Select Job Title",IF($I228="","Enter Pay Rate",IF($S228="","Job Title not found","Ready")))))</x:f>
      </x:c>
    </x:row>
    <x:row r="229" ht="22" customHeight="1">
      <x:c r="A229" s="205"/>
      <x:c r="B229" s="205"/>
      <x:c r="C229" s="206"/>
      <x:c r="D229" s="205"/>
      <x:c r="E229" s="207"/>
      <x:c r="F229" s="208"/>
      <x:c r="G229" s="209" t="str">
        <x:f>IF($S229="","",IFERROR(VLOOKUP($S229,'Data'!$D$2:$G$14,3,FALSE),""))</x:f>
      </x:c>
      <x:c r="H229" s="210" t="str">
        <x:f>IF($G229="","",$G229/'Data'!$O$2/'Data'!$O$3)</x:f>
      </x:c>
      <x:c r="I229" s="211"/>
      <x:c r="J229" s="209" t="str">
        <x:f>IF(OR($E229="",$I229=""),"",$I229*'Data'!$O$2*'Data'!$O$3)</x:f>
      </x:c>
      <x:c r="K229" s="212" t="str">
        <x:f>IF(OR($J229="",$G229=""),"",$J229/$G229)</x:f>
      </x:c>
      <x:c r="L229" s="213" t="str">
        <x:f>IF($K229="","",VLOOKUP($K229,'Data'!$I$2:$L$6,3,TRUE))</x:f>
      </x:c>
      <x:c r="M229" s="210" t="str">
        <x:f>IF($L229="","",$I229*$L229)</x:f>
      </x:c>
      <x:c r="N229" s="214" t="str">
        <x:f>IF($M229="","",ROUNDDOWN($I229+$M229,2))</x:f>
      </x:c>
      <x:c r="O229" s="210" t="str">
        <x:f>IF($N229="","",ROUNDDOWN(ROUNDDOWN($N229,2)*$R229,3))</x:f>
      </x:c>
      <x:c r="P229" s="215"/>
      <x:c r="Q229" s="222" t="str">
        <x:f>IF($E229="","",IF(OR(RIGHT(UPPER(TRIM(SUBSTITUTE(CLEAN($E229),CHAR(160)," "))),2)="P1",RIGHT(UPPER(TRIM(SUBSTITUTE(CLEAN($E229),CHAR(160)," "))),2)="P2",RIGHT(UPPER(TRIM(SUBSTITUTE(CLEAN($E229),CHAR(160)," "))),2)="P3",RIGHT(UPPER(TRIM(SUBSTITUTE(CLEAN($E229),CHAR(160)," "))),2)="P4",ISNUMBER(SEARCH("INDUSTRIAL HYGIENIST 1 ENVIRONMENT",UPPER(TRIM(SUBSTITUTE(CLEAN($E229),CHAR(160)," ")))))),"PS","GS"))</x:f>
      </x:c>
      <x:c r="R229" s="223" t="str">
        <x:f>IF($Q229="","",IF($Q229="PS",'Data'!$O$5,'Data'!$O$4))</x:f>
      </x:c>
      <x:c r="S229" s="224" t="str">
        <x:f>IF($E229="","",IFERROR(VLOOKUP($E229,'Data'!$A$2:$B$114,2,FALSE),""))</x:f>
      </x:c>
      <x:c r="T229" s="217" t="str">
        <x:f>IF($K229="","",VLOOKUP($K229,'Data'!$I$2:$L$6,2,TRUE))</x:f>
      </x:c>
      <x:c r="U229" s="217"/>
      <x:c r="V229" s="221" t="str">
        <x:f>IF($L229="","",$J229*$L229)</x:f>
      </x:c>
      <x:c r="W229" s="221" t="str">
        <x:f>IF($V229="","",$J229+$V229)</x:f>
      </x:c>
      <x:c r="X229" s="217" t="str">
        <x:f>IF($Y229="Ready","Review and inform supplier","")</x:f>
      </x:c>
      <x:c r="Y229" s="217" t="str">
        <x:f>IF(AND($B229="",$E229="",$I229=""),"",IF($B229="","Missing Assignment Number",IF($E229="","Select Job Title",IF($I229="","Enter Pay Rate",IF($S229="","Job Title not found","Ready")))))</x:f>
      </x:c>
    </x:row>
    <x:row r="230" ht="22" customHeight="1">
      <x:c r="A230" s="205"/>
      <x:c r="B230" s="205"/>
      <x:c r="C230" s="206"/>
      <x:c r="D230" s="205"/>
      <x:c r="E230" s="207"/>
      <x:c r="F230" s="208"/>
      <x:c r="G230" s="209" t="str">
        <x:f>IF($S230="","",IFERROR(VLOOKUP($S230,'Data'!$D$2:$G$14,3,FALSE),""))</x:f>
      </x:c>
      <x:c r="H230" s="210" t="str">
        <x:f>IF($G230="","",$G230/'Data'!$O$2/'Data'!$O$3)</x:f>
      </x:c>
      <x:c r="I230" s="211"/>
      <x:c r="J230" s="209" t="str">
        <x:f>IF(OR($E230="",$I230=""),"",$I230*'Data'!$O$2*'Data'!$O$3)</x:f>
      </x:c>
      <x:c r="K230" s="212" t="str">
        <x:f>IF(OR($J230="",$G230=""),"",$J230/$G230)</x:f>
      </x:c>
      <x:c r="L230" s="213" t="str">
        <x:f>IF($K230="","",VLOOKUP($K230,'Data'!$I$2:$L$6,3,TRUE))</x:f>
      </x:c>
      <x:c r="M230" s="210" t="str">
        <x:f>IF($L230="","",$I230*$L230)</x:f>
      </x:c>
      <x:c r="N230" s="214" t="str">
        <x:f>IF($M230="","",ROUNDDOWN($I230+$M230,2))</x:f>
      </x:c>
      <x:c r="O230" s="210" t="str">
        <x:f>IF($N230="","",ROUNDDOWN(ROUNDDOWN($N230,2)*$R230,3))</x:f>
      </x:c>
      <x:c r="P230" s="215"/>
      <x:c r="Q230" s="222" t="str">
        <x:f>IF($E230="","",IF(OR(RIGHT(UPPER(TRIM(SUBSTITUTE(CLEAN($E230),CHAR(160)," "))),2)="P1",RIGHT(UPPER(TRIM(SUBSTITUTE(CLEAN($E230),CHAR(160)," "))),2)="P2",RIGHT(UPPER(TRIM(SUBSTITUTE(CLEAN($E230),CHAR(160)," "))),2)="P3",RIGHT(UPPER(TRIM(SUBSTITUTE(CLEAN($E230),CHAR(160)," "))),2)="P4",ISNUMBER(SEARCH("INDUSTRIAL HYGIENIST 1 ENVIRONMENT",UPPER(TRIM(SUBSTITUTE(CLEAN($E230),CHAR(160)," ")))))),"PS","GS"))</x:f>
      </x:c>
      <x:c r="R230" s="223" t="str">
        <x:f>IF($Q230="","",IF($Q230="PS",'Data'!$O$5,'Data'!$O$4))</x:f>
      </x:c>
      <x:c r="S230" s="224" t="str">
        <x:f>IF($E230="","",IFERROR(VLOOKUP($E230,'Data'!$A$2:$B$114,2,FALSE),""))</x:f>
      </x:c>
      <x:c r="T230" s="217" t="str">
        <x:f>IF($K230="","",VLOOKUP($K230,'Data'!$I$2:$L$6,2,TRUE))</x:f>
      </x:c>
      <x:c r="U230" s="217"/>
      <x:c r="V230" s="221" t="str">
        <x:f>IF($L230="","",$J230*$L230)</x:f>
      </x:c>
      <x:c r="W230" s="221" t="str">
        <x:f>IF($V230="","",$J230+$V230)</x:f>
      </x:c>
      <x:c r="X230" s="217" t="str">
        <x:f>IF($Y230="Ready","Review and inform supplier","")</x:f>
      </x:c>
      <x:c r="Y230" s="217" t="str">
        <x:f>IF(AND($B230="",$E230="",$I230=""),"",IF($B230="","Missing Assignment Number",IF($E230="","Select Job Title",IF($I230="","Enter Pay Rate",IF($S230="","Job Title not found","Ready")))))</x:f>
      </x:c>
    </x:row>
    <x:row r="231" ht="22" customHeight="1">
      <x:c r="A231" s="205"/>
      <x:c r="B231" s="205"/>
      <x:c r="C231" s="206"/>
      <x:c r="D231" s="205"/>
      <x:c r="E231" s="207"/>
      <x:c r="F231" s="208"/>
      <x:c r="G231" s="209" t="str">
        <x:f>IF($S231="","",IFERROR(VLOOKUP($S231,'Data'!$D$2:$G$14,3,FALSE),""))</x:f>
      </x:c>
      <x:c r="H231" s="210" t="str">
        <x:f>IF($G231="","",$G231/'Data'!$O$2/'Data'!$O$3)</x:f>
      </x:c>
      <x:c r="I231" s="211"/>
      <x:c r="J231" s="209" t="str">
        <x:f>IF(OR($E231="",$I231=""),"",$I231*'Data'!$O$2*'Data'!$O$3)</x:f>
      </x:c>
      <x:c r="K231" s="212" t="str">
        <x:f>IF(OR($J231="",$G231=""),"",$J231/$G231)</x:f>
      </x:c>
      <x:c r="L231" s="213" t="str">
        <x:f>IF($K231="","",VLOOKUP($K231,'Data'!$I$2:$L$6,3,TRUE))</x:f>
      </x:c>
      <x:c r="M231" s="210" t="str">
        <x:f>IF($L231="","",$I231*$L231)</x:f>
      </x:c>
      <x:c r="N231" s="214" t="str">
        <x:f>IF($M231="","",ROUNDDOWN($I231+$M231,2))</x:f>
      </x:c>
      <x:c r="O231" s="210" t="str">
        <x:f>IF($N231="","",ROUNDDOWN(ROUNDDOWN($N231,2)*$R231,3))</x:f>
      </x:c>
      <x:c r="P231" s="215"/>
      <x:c r="Q231" s="222" t="str">
        <x:f>IF($E231="","",IF(OR(RIGHT(UPPER(TRIM(SUBSTITUTE(CLEAN($E231),CHAR(160)," "))),2)="P1",RIGHT(UPPER(TRIM(SUBSTITUTE(CLEAN($E231),CHAR(160)," "))),2)="P2",RIGHT(UPPER(TRIM(SUBSTITUTE(CLEAN($E231),CHAR(160)," "))),2)="P3",RIGHT(UPPER(TRIM(SUBSTITUTE(CLEAN($E231),CHAR(160)," "))),2)="P4",ISNUMBER(SEARCH("INDUSTRIAL HYGIENIST 1 ENVIRONMENT",UPPER(TRIM(SUBSTITUTE(CLEAN($E231),CHAR(160)," ")))))),"PS","GS"))</x:f>
      </x:c>
      <x:c r="R231" s="223" t="str">
        <x:f>IF($Q231="","",IF($Q231="PS",'Data'!$O$5,'Data'!$O$4))</x:f>
      </x:c>
      <x:c r="S231" s="224" t="str">
        <x:f>IF($E231="","",IFERROR(VLOOKUP($E231,'Data'!$A$2:$B$114,2,FALSE),""))</x:f>
      </x:c>
      <x:c r="T231" s="217" t="str">
        <x:f>IF($K231="","",VLOOKUP($K231,'Data'!$I$2:$L$6,2,TRUE))</x:f>
      </x:c>
      <x:c r="U231" s="217"/>
      <x:c r="V231" s="221" t="str">
        <x:f>IF($L231="","",$J231*$L231)</x:f>
      </x:c>
      <x:c r="W231" s="221" t="str">
        <x:f>IF($V231="","",$J231+$V231)</x:f>
      </x:c>
      <x:c r="X231" s="217" t="str">
        <x:f>IF($Y231="Ready","Review and inform supplier","")</x:f>
      </x:c>
      <x:c r="Y231" s="217" t="str">
        <x:f>IF(AND($B231="",$E231="",$I231=""),"",IF($B231="","Missing Assignment Number",IF($E231="","Select Job Title",IF($I231="","Enter Pay Rate",IF($S231="","Job Title not found","Ready")))))</x:f>
      </x:c>
    </x:row>
    <x:row r="232" ht="22" customHeight="1">
      <x:c r="A232" s="205"/>
      <x:c r="B232" s="205"/>
      <x:c r="C232" s="206"/>
      <x:c r="D232" s="205"/>
      <x:c r="E232" s="207"/>
      <x:c r="F232" s="208"/>
      <x:c r="G232" s="209" t="str">
        <x:f>IF($S232="","",IFERROR(VLOOKUP($S232,'Data'!$D$2:$G$14,3,FALSE),""))</x:f>
      </x:c>
      <x:c r="H232" s="210" t="str">
        <x:f>IF($G232="","",$G232/'Data'!$O$2/'Data'!$O$3)</x:f>
      </x:c>
      <x:c r="I232" s="211"/>
      <x:c r="J232" s="209" t="str">
        <x:f>IF(OR($E232="",$I232=""),"",$I232*'Data'!$O$2*'Data'!$O$3)</x:f>
      </x:c>
      <x:c r="K232" s="212" t="str">
        <x:f>IF(OR($J232="",$G232=""),"",$J232/$G232)</x:f>
      </x:c>
      <x:c r="L232" s="213" t="str">
        <x:f>IF($K232="","",VLOOKUP($K232,'Data'!$I$2:$L$6,3,TRUE))</x:f>
      </x:c>
      <x:c r="M232" s="210" t="str">
        <x:f>IF($L232="","",$I232*$L232)</x:f>
      </x:c>
      <x:c r="N232" s="214" t="str">
        <x:f>IF($M232="","",ROUNDDOWN($I232+$M232,2))</x:f>
      </x:c>
      <x:c r="O232" s="210" t="str">
        <x:f>IF($N232="","",ROUNDDOWN(ROUNDDOWN($N232,2)*$R232,3))</x:f>
      </x:c>
      <x:c r="P232" s="215"/>
      <x:c r="Q232" s="222" t="str">
        <x:f>IF($E232="","",IF(OR(RIGHT(UPPER(TRIM(SUBSTITUTE(CLEAN($E232),CHAR(160)," "))),2)="P1",RIGHT(UPPER(TRIM(SUBSTITUTE(CLEAN($E232),CHAR(160)," "))),2)="P2",RIGHT(UPPER(TRIM(SUBSTITUTE(CLEAN($E232),CHAR(160)," "))),2)="P3",RIGHT(UPPER(TRIM(SUBSTITUTE(CLEAN($E232),CHAR(160)," "))),2)="P4",ISNUMBER(SEARCH("INDUSTRIAL HYGIENIST 1 ENVIRONMENT",UPPER(TRIM(SUBSTITUTE(CLEAN($E232),CHAR(160)," ")))))),"PS","GS"))</x:f>
      </x:c>
      <x:c r="R232" s="223" t="str">
        <x:f>IF($Q232="","",IF($Q232="PS",'Data'!$O$5,'Data'!$O$4))</x:f>
      </x:c>
      <x:c r="S232" s="224" t="str">
        <x:f>IF($E232="","",IFERROR(VLOOKUP($E232,'Data'!$A$2:$B$114,2,FALSE),""))</x:f>
      </x:c>
      <x:c r="T232" s="217" t="str">
        <x:f>IF($K232="","",VLOOKUP($K232,'Data'!$I$2:$L$6,2,TRUE))</x:f>
      </x:c>
      <x:c r="U232" s="217"/>
      <x:c r="V232" s="221" t="str">
        <x:f>IF($L232="","",$J232*$L232)</x:f>
      </x:c>
      <x:c r="W232" s="221" t="str">
        <x:f>IF($V232="","",$J232+$V232)</x:f>
      </x:c>
      <x:c r="X232" s="217" t="str">
        <x:f>IF($Y232="Ready","Review and inform supplier","")</x:f>
      </x:c>
      <x:c r="Y232" s="217" t="str">
        <x:f>IF(AND($B232="",$E232="",$I232=""),"",IF($B232="","Missing Assignment Number",IF($E232="","Select Job Title",IF($I232="","Enter Pay Rate",IF($S232="","Job Title not found","Ready")))))</x:f>
      </x:c>
    </x:row>
    <x:row r="233" ht="22" customHeight="1">
      <x:c r="A233" s="205"/>
      <x:c r="B233" s="205"/>
      <x:c r="C233" s="206"/>
      <x:c r="D233" s="205"/>
      <x:c r="E233" s="207"/>
      <x:c r="F233" s="208"/>
      <x:c r="G233" s="209" t="str">
        <x:f>IF($S233="","",IFERROR(VLOOKUP($S233,'Data'!$D$2:$G$14,3,FALSE),""))</x:f>
      </x:c>
      <x:c r="H233" s="210" t="str">
        <x:f>IF($G233="","",$G233/'Data'!$O$2/'Data'!$O$3)</x:f>
      </x:c>
      <x:c r="I233" s="211"/>
      <x:c r="J233" s="209" t="str">
        <x:f>IF(OR($E233="",$I233=""),"",$I233*'Data'!$O$2*'Data'!$O$3)</x:f>
      </x:c>
      <x:c r="K233" s="212" t="str">
        <x:f>IF(OR($J233="",$G233=""),"",$J233/$G233)</x:f>
      </x:c>
      <x:c r="L233" s="213" t="str">
        <x:f>IF($K233="","",VLOOKUP($K233,'Data'!$I$2:$L$6,3,TRUE))</x:f>
      </x:c>
      <x:c r="M233" s="210" t="str">
        <x:f>IF($L233="","",$I233*$L233)</x:f>
      </x:c>
      <x:c r="N233" s="214" t="str">
        <x:f>IF($M233="","",ROUNDDOWN($I233+$M233,2))</x:f>
      </x:c>
      <x:c r="O233" s="210" t="str">
        <x:f>IF($N233="","",ROUNDDOWN(ROUNDDOWN($N233,2)*$R233,3))</x:f>
      </x:c>
      <x:c r="P233" s="215"/>
      <x:c r="Q233" s="222" t="str">
        <x:f>IF($E233="","",IF(OR(RIGHT(UPPER(TRIM(SUBSTITUTE(CLEAN($E233),CHAR(160)," "))),2)="P1",RIGHT(UPPER(TRIM(SUBSTITUTE(CLEAN($E233),CHAR(160)," "))),2)="P2",RIGHT(UPPER(TRIM(SUBSTITUTE(CLEAN($E233),CHAR(160)," "))),2)="P3",RIGHT(UPPER(TRIM(SUBSTITUTE(CLEAN($E233),CHAR(160)," "))),2)="P4",ISNUMBER(SEARCH("INDUSTRIAL HYGIENIST 1 ENVIRONMENT",UPPER(TRIM(SUBSTITUTE(CLEAN($E233),CHAR(160)," ")))))),"PS","GS"))</x:f>
      </x:c>
      <x:c r="R233" s="223" t="str">
        <x:f>IF($Q233="","",IF($Q233="PS",'Data'!$O$5,'Data'!$O$4))</x:f>
      </x:c>
      <x:c r="S233" s="224" t="str">
        <x:f>IF($E233="","",IFERROR(VLOOKUP($E233,'Data'!$A$2:$B$114,2,FALSE),""))</x:f>
      </x:c>
      <x:c r="T233" s="217" t="str">
        <x:f>IF($K233="","",VLOOKUP($K233,'Data'!$I$2:$L$6,2,TRUE))</x:f>
      </x:c>
      <x:c r="U233" s="217"/>
      <x:c r="V233" s="221" t="str">
        <x:f>IF($L233="","",$J233*$L233)</x:f>
      </x:c>
      <x:c r="W233" s="221" t="str">
        <x:f>IF($V233="","",$J233+$V233)</x:f>
      </x:c>
      <x:c r="X233" s="217" t="str">
        <x:f>IF($Y233="Ready","Review and inform supplier","")</x:f>
      </x:c>
      <x:c r="Y233" s="217" t="str">
        <x:f>IF(AND($B233="",$E233="",$I233=""),"",IF($B233="","Missing Assignment Number",IF($E233="","Select Job Title",IF($I233="","Enter Pay Rate",IF($S233="","Job Title not found","Ready")))))</x:f>
      </x:c>
    </x:row>
    <x:row r="234" ht="22" customHeight="1">
      <x:c r="A234" s="205"/>
      <x:c r="B234" s="205"/>
      <x:c r="C234" s="206"/>
      <x:c r="D234" s="205"/>
      <x:c r="E234" s="207"/>
      <x:c r="F234" s="208"/>
      <x:c r="G234" s="209" t="str">
        <x:f>IF($S234="","",IFERROR(VLOOKUP($S234,'Data'!$D$2:$G$14,3,FALSE),""))</x:f>
      </x:c>
      <x:c r="H234" s="210" t="str">
        <x:f>IF($G234="","",$G234/'Data'!$O$2/'Data'!$O$3)</x:f>
      </x:c>
      <x:c r="I234" s="211"/>
      <x:c r="J234" s="209" t="str">
        <x:f>IF(OR($E234="",$I234=""),"",$I234*'Data'!$O$2*'Data'!$O$3)</x:f>
      </x:c>
      <x:c r="K234" s="212" t="str">
        <x:f>IF(OR($J234="",$G234=""),"",$J234/$G234)</x:f>
      </x:c>
      <x:c r="L234" s="213" t="str">
        <x:f>IF($K234="","",VLOOKUP($K234,'Data'!$I$2:$L$6,3,TRUE))</x:f>
      </x:c>
      <x:c r="M234" s="210" t="str">
        <x:f>IF($L234="","",$I234*$L234)</x:f>
      </x:c>
      <x:c r="N234" s="214" t="str">
        <x:f>IF($M234="","",ROUNDDOWN($I234+$M234,2))</x:f>
      </x:c>
      <x:c r="O234" s="210" t="str">
        <x:f>IF($N234="","",ROUNDDOWN(ROUNDDOWN($N234,2)*$R234,3))</x:f>
      </x:c>
      <x:c r="P234" s="215"/>
      <x:c r="Q234" s="222" t="str">
        <x:f>IF($E234="","",IF(OR(RIGHT(UPPER(TRIM(SUBSTITUTE(CLEAN($E234),CHAR(160)," "))),2)="P1",RIGHT(UPPER(TRIM(SUBSTITUTE(CLEAN($E234),CHAR(160)," "))),2)="P2",RIGHT(UPPER(TRIM(SUBSTITUTE(CLEAN($E234),CHAR(160)," "))),2)="P3",RIGHT(UPPER(TRIM(SUBSTITUTE(CLEAN($E234),CHAR(160)," "))),2)="P4",ISNUMBER(SEARCH("INDUSTRIAL HYGIENIST 1 ENVIRONMENT",UPPER(TRIM(SUBSTITUTE(CLEAN($E234),CHAR(160)," ")))))),"PS","GS"))</x:f>
      </x:c>
      <x:c r="R234" s="223" t="str">
        <x:f>IF($Q234="","",IF($Q234="PS",'Data'!$O$5,'Data'!$O$4))</x:f>
      </x:c>
      <x:c r="S234" s="224" t="str">
        <x:f>IF($E234="","",IFERROR(VLOOKUP($E234,'Data'!$A$2:$B$114,2,FALSE),""))</x:f>
      </x:c>
      <x:c r="T234" s="217" t="str">
        <x:f>IF($K234="","",VLOOKUP($K234,'Data'!$I$2:$L$6,2,TRUE))</x:f>
      </x:c>
      <x:c r="U234" s="217"/>
      <x:c r="V234" s="221" t="str">
        <x:f>IF($L234="","",$J234*$L234)</x:f>
      </x:c>
      <x:c r="W234" s="221" t="str">
        <x:f>IF($V234="","",$J234+$V234)</x:f>
      </x:c>
      <x:c r="X234" s="217" t="str">
        <x:f>IF($Y234="Ready","Review and inform supplier","")</x:f>
      </x:c>
      <x:c r="Y234" s="217" t="str">
        <x:f>IF(AND($B234="",$E234="",$I234=""),"",IF($B234="","Missing Assignment Number",IF($E234="","Select Job Title",IF($I234="","Enter Pay Rate",IF($S234="","Job Title not found","Ready")))))</x:f>
      </x:c>
    </x:row>
    <x:row r="235" ht="22" customHeight="1">
      <x:c r="A235" s="205"/>
      <x:c r="B235" s="205"/>
      <x:c r="C235" s="206"/>
      <x:c r="D235" s="205"/>
      <x:c r="E235" s="207"/>
      <x:c r="F235" s="208"/>
      <x:c r="G235" s="209" t="str">
        <x:f>IF($S235="","",IFERROR(VLOOKUP($S235,'Data'!$D$2:$G$14,3,FALSE),""))</x:f>
      </x:c>
      <x:c r="H235" s="210" t="str">
        <x:f>IF($G235="","",$G235/'Data'!$O$2/'Data'!$O$3)</x:f>
      </x:c>
      <x:c r="I235" s="211"/>
      <x:c r="J235" s="209" t="str">
        <x:f>IF(OR($E235="",$I235=""),"",$I235*'Data'!$O$2*'Data'!$O$3)</x:f>
      </x:c>
      <x:c r="K235" s="212" t="str">
        <x:f>IF(OR($J235="",$G235=""),"",$J235/$G235)</x:f>
      </x:c>
      <x:c r="L235" s="213" t="str">
        <x:f>IF($K235="","",VLOOKUP($K235,'Data'!$I$2:$L$6,3,TRUE))</x:f>
      </x:c>
      <x:c r="M235" s="210" t="str">
        <x:f>IF($L235="","",$I235*$L235)</x:f>
      </x:c>
      <x:c r="N235" s="214" t="str">
        <x:f>IF($M235="","",ROUNDDOWN($I235+$M235,2))</x:f>
      </x:c>
      <x:c r="O235" s="210" t="str">
        <x:f>IF($N235="","",ROUNDDOWN(ROUNDDOWN($N235,2)*$R235,3))</x:f>
      </x:c>
      <x:c r="P235" s="215"/>
      <x:c r="Q235" s="222" t="str">
        <x:f>IF($E235="","",IF(OR(RIGHT(UPPER(TRIM(SUBSTITUTE(CLEAN($E235),CHAR(160)," "))),2)="P1",RIGHT(UPPER(TRIM(SUBSTITUTE(CLEAN($E235),CHAR(160)," "))),2)="P2",RIGHT(UPPER(TRIM(SUBSTITUTE(CLEAN($E235),CHAR(160)," "))),2)="P3",RIGHT(UPPER(TRIM(SUBSTITUTE(CLEAN($E235),CHAR(160)," "))),2)="P4",ISNUMBER(SEARCH("INDUSTRIAL HYGIENIST 1 ENVIRONMENT",UPPER(TRIM(SUBSTITUTE(CLEAN($E235),CHAR(160)," ")))))),"PS","GS"))</x:f>
      </x:c>
      <x:c r="R235" s="223" t="str">
        <x:f>IF($Q235="","",IF($Q235="PS",'Data'!$O$5,'Data'!$O$4))</x:f>
      </x:c>
      <x:c r="S235" s="224" t="str">
        <x:f>IF($E235="","",IFERROR(VLOOKUP($E235,'Data'!$A$2:$B$114,2,FALSE),""))</x:f>
      </x:c>
      <x:c r="T235" s="217" t="str">
        <x:f>IF($K235="","",VLOOKUP($K235,'Data'!$I$2:$L$6,2,TRUE))</x:f>
      </x:c>
      <x:c r="U235" s="217"/>
      <x:c r="V235" s="221" t="str">
        <x:f>IF($L235="","",$J235*$L235)</x:f>
      </x:c>
      <x:c r="W235" s="221" t="str">
        <x:f>IF($V235="","",$J235+$V235)</x:f>
      </x:c>
      <x:c r="X235" s="217" t="str">
        <x:f>IF($Y235="Ready","Review and inform supplier","")</x:f>
      </x:c>
      <x:c r="Y235" s="217" t="str">
        <x:f>IF(AND($B235="",$E235="",$I235=""),"",IF($B235="","Missing Assignment Number",IF($E235="","Select Job Title",IF($I235="","Enter Pay Rate",IF($S235="","Job Title not found","Ready")))))</x:f>
      </x:c>
    </x:row>
    <x:row r="236" ht="22" customHeight="1">
      <x:c r="A236" s="205"/>
      <x:c r="B236" s="205"/>
      <x:c r="C236" s="206"/>
      <x:c r="D236" s="205"/>
      <x:c r="E236" s="207"/>
      <x:c r="F236" s="208"/>
      <x:c r="G236" s="209" t="str">
        <x:f>IF($S236="","",IFERROR(VLOOKUP($S236,'Data'!$D$2:$G$14,3,FALSE),""))</x:f>
      </x:c>
      <x:c r="H236" s="210" t="str">
        <x:f>IF($G236="","",$G236/'Data'!$O$2/'Data'!$O$3)</x:f>
      </x:c>
      <x:c r="I236" s="211"/>
      <x:c r="J236" s="209" t="str">
        <x:f>IF(OR($E236="",$I236=""),"",$I236*'Data'!$O$2*'Data'!$O$3)</x:f>
      </x:c>
      <x:c r="K236" s="212" t="str">
        <x:f>IF(OR($J236="",$G236=""),"",$J236/$G236)</x:f>
      </x:c>
      <x:c r="L236" s="213" t="str">
        <x:f>IF($K236="","",VLOOKUP($K236,'Data'!$I$2:$L$6,3,TRUE))</x:f>
      </x:c>
      <x:c r="M236" s="210" t="str">
        <x:f>IF($L236="","",$I236*$L236)</x:f>
      </x:c>
      <x:c r="N236" s="214" t="str">
        <x:f>IF($M236="","",ROUNDDOWN($I236+$M236,2))</x:f>
      </x:c>
      <x:c r="O236" s="210" t="str">
        <x:f>IF($N236="","",ROUNDDOWN(ROUNDDOWN($N236,2)*$R236,3))</x:f>
      </x:c>
      <x:c r="P236" s="215"/>
      <x:c r="Q236" s="222" t="str">
        <x:f>IF($E236="","",IF(OR(RIGHT(UPPER(TRIM(SUBSTITUTE(CLEAN($E236),CHAR(160)," "))),2)="P1",RIGHT(UPPER(TRIM(SUBSTITUTE(CLEAN($E236),CHAR(160)," "))),2)="P2",RIGHT(UPPER(TRIM(SUBSTITUTE(CLEAN($E236),CHAR(160)," "))),2)="P3",RIGHT(UPPER(TRIM(SUBSTITUTE(CLEAN($E236),CHAR(160)," "))),2)="P4",ISNUMBER(SEARCH("INDUSTRIAL HYGIENIST 1 ENVIRONMENT",UPPER(TRIM(SUBSTITUTE(CLEAN($E236),CHAR(160)," ")))))),"PS","GS"))</x:f>
      </x:c>
      <x:c r="R236" s="223" t="str">
        <x:f>IF($Q236="","",IF($Q236="PS",'Data'!$O$5,'Data'!$O$4))</x:f>
      </x:c>
      <x:c r="S236" s="224" t="str">
        <x:f>IF($E236="","",IFERROR(VLOOKUP($E236,'Data'!$A$2:$B$114,2,FALSE),""))</x:f>
      </x:c>
      <x:c r="T236" s="217" t="str">
        <x:f>IF($K236="","",VLOOKUP($K236,'Data'!$I$2:$L$6,2,TRUE))</x:f>
      </x:c>
      <x:c r="U236" s="217"/>
      <x:c r="V236" s="221" t="str">
        <x:f>IF($L236="","",$J236*$L236)</x:f>
      </x:c>
      <x:c r="W236" s="221" t="str">
        <x:f>IF($V236="","",$J236+$V236)</x:f>
      </x:c>
      <x:c r="X236" s="217" t="str">
        <x:f>IF($Y236="Ready","Review and inform supplier","")</x:f>
      </x:c>
      <x:c r="Y236" s="217" t="str">
        <x:f>IF(AND($B236="",$E236="",$I236=""),"",IF($B236="","Missing Assignment Number",IF($E236="","Select Job Title",IF($I236="","Enter Pay Rate",IF($S236="","Job Title not found","Ready")))))</x:f>
      </x:c>
    </x:row>
    <x:row r="237" ht="22" customHeight="1">
      <x:c r="A237" s="205"/>
      <x:c r="B237" s="205"/>
      <x:c r="C237" s="206"/>
      <x:c r="D237" s="205"/>
      <x:c r="E237" s="207"/>
      <x:c r="F237" s="208"/>
      <x:c r="G237" s="209" t="str">
        <x:f>IF($S237="","",IFERROR(VLOOKUP($S237,'Data'!$D$2:$G$14,3,FALSE),""))</x:f>
      </x:c>
      <x:c r="H237" s="210" t="str">
        <x:f>IF($G237="","",$G237/'Data'!$O$2/'Data'!$O$3)</x:f>
      </x:c>
      <x:c r="I237" s="211"/>
      <x:c r="J237" s="209" t="str">
        <x:f>IF(OR($E237="",$I237=""),"",$I237*'Data'!$O$2*'Data'!$O$3)</x:f>
      </x:c>
      <x:c r="K237" s="212" t="str">
        <x:f>IF(OR($J237="",$G237=""),"",$J237/$G237)</x:f>
      </x:c>
      <x:c r="L237" s="213" t="str">
        <x:f>IF($K237="","",VLOOKUP($K237,'Data'!$I$2:$L$6,3,TRUE))</x:f>
      </x:c>
      <x:c r="M237" s="210" t="str">
        <x:f>IF($L237="","",$I237*$L237)</x:f>
      </x:c>
      <x:c r="N237" s="214" t="str">
        <x:f>IF($M237="","",ROUNDDOWN($I237+$M237,2))</x:f>
      </x:c>
      <x:c r="O237" s="210" t="str">
        <x:f>IF($N237="","",ROUNDDOWN(ROUNDDOWN($N237,2)*$R237,3))</x:f>
      </x:c>
      <x:c r="P237" s="215"/>
      <x:c r="Q237" s="222" t="str">
        <x:f>IF($E237="","",IF(OR(RIGHT(UPPER(TRIM(SUBSTITUTE(CLEAN($E237),CHAR(160)," "))),2)="P1",RIGHT(UPPER(TRIM(SUBSTITUTE(CLEAN($E237),CHAR(160)," "))),2)="P2",RIGHT(UPPER(TRIM(SUBSTITUTE(CLEAN($E237),CHAR(160)," "))),2)="P3",RIGHT(UPPER(TRIM(SUBSTITUTE(CLEAN($E237),CHAR(160)," "))),2)="P4",ISNUMBER(SEARCH("INDUSTRIAL HYGIENIST 1 ENVIRONMENT",UPPER(TRIM(SUBSTITUTE(CLEAN($E237),CHAR(160)," ")))))),"PS","GS"))</x:f>
      </x:c>
      <x:c r="R237" s="223" t="str">
        <x:f>IF($Q237="","",IF($Q237="PS",'Data'!$O$5,'Data'!$O$4))</x:f>
      </x:c>
      <x:c r="S237" s="224" t="str">
        <x:f>IF($E237="","",IFERROR(VLOOKUP($E237,'Data'!$A$2:$B$114,2,FALSE),""))</x:f>
      </x:c>
      <x:c r="T237" s="217" t="str">
        <x:f>IF($K237="","",VLOOKUP($K237,'Data'!$I$2:$L$6,2,TRUE))</x:f>
      </x:c>
      <x:c r="U237" s="217"/>
      <x:c r="V237" s="221" t="str">
        <x:f>IF($L237="","",$J237*$L237)</x:f>
      </x:c>
      <x:c r="W237" s="221" t="str">
        <x:f>IF($V237="","",$J237+$V237)</x:f>
      </x:c>
      <x:c r="X237" s="217" t="str">
        <x:f>IF($Y237="Ready","Review and inform supplier","")</x:f>
      </x:c>
      <x:c r="Y237" s="217" t="str">
        <x:f>IF(AND($B237="",$E237="",$I237=""),"",IF($B237="","Missing Assignment Number",IF($E237="","Select Job Title",IF($I237="","Enter Pay Rate",IF($S237="","Job Title not found","Ready")))))</x:f>
      </x:c>
    </x:row>
    <x:row r="238" ht="22" customHeight="1">
      <x:c r="A238" s="205"/>
      <x:c r="B238" s="205"/>
      <x:c r="C238" s="206"/>
      <x:c r="D238" s="205"/>
      <x:c r="E238" s="207"/>
      <x:c r="F238" s="208"/>
      <x:c r="G238" s="209" t="str">
        <x:f>IF($S238="","",IFERROR(VLOOKUP($S238,'Data'!$D$2:$G$14,3,FALSE),""))</x:f>
      </x:c>
      <x:c r="H238" s="210" t="str">
        <x:f>IF($G238="","",$G238/'Data'!$O$2/'Data'!$O$3)</x:f>
      </x:c>
      <x:c r="I238" s="211"/>
      <x:c r="J238" s="209" t="str">
        <x:f>IF(OR($E238="",$I238=""),"",$I238*'Data'!$O$2*'Data'!$O$3)</x:f>
      </x:c>
      <x:c r="K238" s="212" t="str">
        <x:f>IF(OR($J238="",$G238=""),"",$J238/$G238)</x:f>
      </x:c>
      <x:c r="L238" s="213" t="str">
        <x:f>IF($K238="","",VLOOKUP($K238,'Data'!$I$2:$L$6,3,TRUE))</x:f>
      </x:c>
      <x:c r="M238" s="210" t="str">
        <x:f>IF($L238="","",$I238*$L238)</x:f>
      </x:c>
      <x:c r="N238" s="214" t="str">
        <x:f>IF($M238="","",ROUNDDOWN($I238+$M238,2))</x:f>
      </x:c>
      <x:c r="O238" s="210" t="str">
        <x:f>IF($N238="","",ROUNDDOWN(ROUNDDOWN($N238,2)*$R238,3))</x:f>
      </x:c>
      <x:c r="P238" s="215"/>
      <x:c r="Q238" s="222" t="str">
        <x:f>IF($E238="","",IF(OR(RIGHT(UPPER(TRIM(SUBSTITUTE(CLEAN($E238),CHAR(160)," "))),2)="P1",RIGHT(UPPER(TRIM(SUBSTITUTE(CLEAN($E238),CHAR(160)," "))),2)="P2",RIGHT(UPPER(TRIM(SUBSTITUTE(CLEAN($E238),CHAR(160)," "))),2)="P3",RIGHT(UPPER(TRIM(SUBSTITUTE(CLEAN($E238),CHAR(160)," "))),2)="P4",ISNUMBER(SEARCH("INDUSTRIAL HYGIENIST 1 ENVIRONMENT",UPPER(TRIM(SUBSTITUTE(CLEAN($E238),CHAR(160)," ")))))),"PS","GS"))</x:f>
      </x:c>
      <x:c r="R238" s="223" t="str">
        <x:f>IF($Q238="","",IF($Q238="PS",'Data'!$O$5,'Data'!$O$4))</x:f>
      </x:c>
      <x:c r="S238" s="224" t="str">
        <x:f>IF($E238="","",IFERROR(VLOOKUP($E238,'Data'!$A$2:$B$114,2,FALSE),""))</x:f>
      </x:c>
      <x:c r="T238" s="217" t="str">
        <x:f>IF($K238="","",VLOOKUP($K238,'Data'!$I$2:$L$6,2,TRUE))</x:f>
      </x:c>
      <x:c r="U238" s="217"/>
      <x:c r="V238" s="221" t="str">
        <x:f>IF($L238="","",$J238*$L238)</x:f>
      </x:c>
      <x:c r="W238" s="221" t="str">
        <x:f>IF($V238="","",$J238+$V238)</x:f>
      </x:c>
      <x:c r="X238" s="217" t="str">
        <x:f>IF($Y238="Ready","Review and inform supplier","")</x:f>
      </x:c>
      <x:c r="Y238" s="217" t="str">
        <x:f>IF(AND($B238="",$E238="",$I238=""),"",IF($B238="","Missing Assignment Number",IF($E238="","Select Job Title",IF($I238="","Enter Pay Rate",IF($S238="","Job Title not found","Ready")))))</x:f>
      </x:c>
    </x:row>
    <x:row r="239" ht="22" customHeight="1">
      <x:c r="A239" s="205"/>
      <x:c r="B239" s="205"/>
      <x:c r="C239" s="206"/>
      <x:c r="D239" s="205"/>
      <x:c r="E239" s="207"/>
      <x:c r="F239" s="208"/>
      <x:c r="G239" s="209" t="str">
        <x:f>IF($S239="","",IFERROR(VLOOKUP($S239,'Data'!$D$2:$G$14,3,FALSE),""))</x:f>
      </x:c>
      <x:c r="H239" s="210" t="str">
        <x:f>IF($G239="","",$G239/'Data'!$O$2/'Data'!$O$3)</x:f>
      </x:c>
      <x:c r="I239" s="211"/>
      <x:c r="J239" s="209" t="str">
        <x:f>IF(OR($E239="",$I239=""),"",$I239*'Data'!$O$2*'Data'!$O$3)</x:f>
      </x:c>
      <x:c r="K239" s="212" t="str">
        <x:f>IF(OR($J239="",$G239=""),"",$J239/$G239)</x:f>
      </x:c>
      <x:c r="L239" s="213" t="str">
        <x:f>IF($K239="","",VLOOKUP($K239,'Data'!$I$2:$L$6,3,TRUE))</x:f>
      </x:c>
      <x:c r="M239" s="210" t="str">
        <x:f>IF($L239="","",$I239*$L239)</x:f>
      </x:c>
      <x:c r="N239" s="214" t="str">
        <x:f>IF($M239="","",ROUNDDOWN($I239+$M239,2))</x:f>
      </x:c>
      <x:c r="O239" s="210" t="str">
        <x:f>IF($N239="","",ROUNDDOWN(ROUNDDOWN($N239,2)*$R239,3))</x:f>
      </x:c>
      <x:c r="P239" s="215"/>
      <x:c r="Q239" s="222" t="str">
        <x:f>IF($E239="","",IF(OR(RIGHT(UPPER(TRIM(SUBSTITUTE(CLEAN($E239),CHAR(160)," "))),2)="P1",RIGHT(UPPER(TRIM(SUBSTITUTE(CLEAN($E239),CHAR(160)," "))),2)="P2",RIGHT(UPPER(TRIM(SUBSTITUTE(CLEAN($E239),CHAR(160)," "))),2)="P3",RIGHT(UPPER(TRIM(SUBSTITUTE(CLEAN($E239),CHAR(160)," "))),2)="P4",ISNUMBER(SEARCH("INDUSTRIAL HYGIENIST 1 ENVIRONMENT",UPPER(TRIM(SUBSTITUTE(CLEAN($E239),CHAR(160)," ")))))),"PS","GS"))</x:f>
      </x:c>
      <x:c r="R239" s="223" t="str">
        <x:f>IF($Q239="","",IF($Q239="PS",'Data'!$O$5,'Data'!$O$4))</x:f>
      </x:c>
      <x:c r="S239" s="224" t="str">
        <x:f>IF($E239="","",IFERROR(VLOOKUP($E239,'Data'!$A$2:$B$114,2,FALSE),""))</x:f>
      </x:c>
      <x:c r="T239" s="217" t="str">
        <x:f>IF($K239="","",VLOOKUP($K239,'Data'!$I$2:$L$6,2,TRUE))</x:f>
      </x:c>
      <x:c r="U239" s="217"/>
      <x:c r="V239" s="221" t="str">
        <x:f>IF($L239="","",$J239*$L239)</x:f>
      </x:c>
      <x:c r="W239" s="221" t="str">
        <x:f>IF($V239="","",$J239+$V239)</x:f>
      </x:c>
      <x:c r="X239" s="217" t="str">
        <x:f>IF($Y239="Ready","Review and inform supplier","")</x:f>
      </x:c>
      <x:c r="Y239" s="217" t="str">
        <x:f>IF(AND($B239="",$E239="",$I239=""),"",IF($B239="","Missing Assignment Number",IF($E239="","Select Job Title",IF($I239="","Enter Pay Rate",IF($S239="","Job Title not found","Ready")))))</x:f>
      </x:c>
    </x:row>
    <x:row r="240" ht="22" customHeight="1">
      <x:c r="A240" s="205"/>
      <x:c r="B240" s="205"/>
      <x:c r="C240" s="206"/>
      <x:c r="D240" s="205"/>
      <x:c r="E240" s="207"/>
      <x:c r="F240" s="208"/>
      <x:c r="G240" s="209" t="str">
        <x:f>IF($S240="","",IFERROR(VLOOKUP($S240,'Data'!$D$2:$G$14,3,FALSE),""))</x:f>
      </x:c>
      <x:c r="H240" s="210" t="str">
        <x:f>IF($G240="","",$G240/'Data'!$O$2/'Data'!$O$3)</x:f>
      </x:c>
      <x:c r="I240" s="211"/>
      <x:c r="J240" s="209" t="str">
        <x:f>IF(OR($E240="",$I240=""),"",$I240*'Data'!$O$2*'Data'!$O$3)</x:f>
      </x:c>
      <x:c r="K240" s="212" t="str">
        <x:f>IF(OR($J240="",$G240=""),"",$J240/$G240)</x:f>
      </x:c>
      <x:c r="L240" s="213" t="str">
        <x:f>IF($K240="","",VLOOKUP($K240,'Data'!$I$2:$L$6,3,TRUE))</x:f>
      </x:c>
      <x:c r="M240" s="210" t="str">
        <x:f>IF($L240="","",$I240*$L240)</x:f>
      </x:c>
      <x:c r="N240" s="214" t="str">
        <x:f>IF($M240="","",ROUNDDOWN($I240+$M240,2))</x:f>
      </x:c>
      <x:c r="O240" s="210" t="str">
        <x:f>IF($N240="","",ROUNDDOWN(ROUNDDOWN($N240,2)*$R240,3))</x:f>
      </x:c>
      <x:c r="P240" s="215"/>
      <x:c r="Q240" s="222" t="str">
        <x:f>IF($E240="","",IF(OR(RIGHT(UPPER(TRIM(SUBSTITUTE(CLEAN($E240),CHAR(160)," "))),2)="P1",RIGHT(UPPER(TRIM(SUBSTITUTE(CLEAN($E240),CHAR(160)," "))),2)="P2",RIGHT(UPPER(TRIM(SUBSTITUTE(CLEAN($E240),CHAR(160)," "))),2)="P3",RIGHT(UPPER(TRIM(SUBSTITUTE(CLEAN($E240),CHAR(160)," "))),2)="P4",ISNUMBER(SEARCH("INDUSTRIAL HYGIENIST 1 ENVIRONMENT",UPPER(TRIM(SUBSTITUTE(CLEAN($E240),CHAR(160)," ")))))),"PS","GS"))</x:f>
      </x:c>
      <x:c r="R240" s="223" t="str">
        <x:f>IF($Q240="","",IF($Q240="PS",'Data'!$O$5,'Data'!$O$4))</x:f>
      </x:c>
      <x:c r="S240" s="224" t="str">
        <x:f>IF($E240="","",IFERROR(VLOOKUP($E240,'Data'!$A$2:$B$114,2,FALSE),""))</x:f>
      </x:c>
      <x:c r="T240" s="217" t="str">
        <x:f>IF($K240="","",VLOOKUP($K240,'Data'!$I$2:$L$6,2,TRUE))</x:f>
      </x:c>
      <x:c r="U240" s="217"/>
      <x:c r="V240" s="221" t="str">
        <x:f>IF($L240="","",$J240*$L240)</x:f>
      </x:c>
      <x:c r="W240" s="221" t="str">
        <x:f>IF($V240="","",$J240+$V240)</x:f>
      </x:c>
      <x:c r="X240" s="217" t="str">
        <x:f>IF($Y240="Ready","Review and inform supplier","")</x:f>
      </x:c>
      <x:c r="Y240" s="217" t="str">
        <x:f>IF(AND($B240="",$E240="",$I240=""),"",IF($B240="","Missing Assignment Number",IF($E240="","Select Job Title",IF($I240="","Enter Pay Rate",IF($S240="","Job Title not found","Ready")))))</x:f>
      </x:c>
    </x:row>
    <x:row r="241" ht="22" customHeight="1">
      <x:c r="A241" s="205"/>
      <x:c r="B241" s="205"/>
      <x:c r="C241" s="206"/>
      <x:c r="D241" s="205"/>
      <x:c r="E241" s="207"/>
      <x:c r="F241" s="208"/>
      <x:c r="G241" s="209" t="str">
        <x:f>IF($S241="","",IFERROR(VLOOKUP($S241,'Data'!$D$2:$G$14,3,FALSE),""))</x:f>
      </x:c>
      <x:c r="H241" s="210" t="str">
        <x:f>IF($G241="","",$G241/'Data'!$O$2/'Data'!$O$3)</x:f>
      </x:c>
      <x:c r="I241" s="211"/>
      <x:c r="J241" s="209" t="str">
        <x:f>IF(OR($E241="",$I241=""),"",$I241*'Data'!$O$2*'Data'!$O$3)</x:f>
      </x:c>
      <x:c r="K241" s="212" t="str">
        <x:f>IF(OR($J241="",$G241=""),"",$J241/$G241)</x:f>
      </x:c>
      <x:c r="L241" s="213" t="str">
        <x:f>IF($K241="","",VLOOKUP($K241,'Data'!$I$2:$L$6,3,TRUE))</x:f>
      </x:c>
      <x:c r="M241" s="210" t="str">
        <x:f>IF($L241="","",$I241*$L241)</x:f>
      </x:c>
      <x:c r="N241" s="214" t="str">
        <x:f>IF($M241="","",ROUNDDOWN($I241+$M241,2))</x:f>
      </x:c>
      <x:c r="O241" s="210" t="str">
        <x:f>IF($N241="","",ROUNDDOWN(ROUNDDOWN($N241,2)*$R241,3))</x:f>
      </x:c>
      <x:c r="P241" s="215"/>
      <x:c r="Q241" s="222" t="str">
        <x:f>IF($E241="","",IF(OR(RIGHT(UPPER(TRIM(SUBSTITUTE(CLEAN($E241),CHAR(160)," "))),2)="P1",RIGHT(UPPER(TRIM(SUBSTITUTE(CLEAN($E241),CHAR(160)," "))),2)="P2",RIGHT(UPPER(TRIM(SUBSTITUTE(CLEAN($E241),CHAR(160)," "))),2)="P3",RIGHT(UPPER(TRIM(SUBSTITUTE(CLEAN($E241),CHAR(160)," "))),2)="P4",ISNUMBER(SEARCH("INDUSTRIAL HYGIENIST 1 ENVIRONMENT",UPPER(TRIM(SUBSTITUTE(CLEAN($E241),CHAR(160)," ")))))),"PS","GS"))</x:f>
      </x:c>
      <x:c r="R241" s="223" t="str">
        <x:f>IF($Q241="","",IF($Q241="PS",'Data'!$O$5,'Data'!$O$4))</x:f>
      </x:c>
      <x:c r="S241" s="224" t="str">
        <x:f>IF($E241="","",IFERROR(VLOOKUP($E241,'Data'!$A$2:$B$114,2,FALSE),""))</x:f>
      </x:c>
      <x:c r="T241" s="217" t="str">
        <x:f>IF($K241="","",VLOOKUP($K241,'Data'!$I$2:$L$6,2,TRUE))</x:f>
      </x:c>
      <x:c r="U241" s="217"/>
      <x:c r="V241" s="221" t="str">
        <x:f>IF($L241="","",$J241*$L241)</x:f>
      </x:c>
      <x:c r="W241" s="221" t="str">
        <x:f>IF($V241="","",$J241+$V241)</x:f>
      </x:c>
      <x:c r="X241" s="217" t="str">
        <x:f>IF($Y241="Ready","Review and inform supplier","")</x:f>
      </x:c>
      <x:c r="Y241" s="217" t="str">
        <x:f>IF(AND($B241="",$E241="",$I241=""),"",IF($B241="","Missing Assignment Number",IF($E241="","Select Job Title",IF($I241="","Enter Pay Rate",IF($S241="","Job Title not found","Ready")))))</x:f>
      </x:c>
    </x:row>
    <x:row r="242" ht="22" customHeight="1">
      <x:c r="A242" s="205"/>
      <x:c r="B242" s="205"/>
      <x:c r="C242" s="206"/>
      <x:c r="D242" s="205"/>
      <x:c r="E242" s="207"/>
      <x:c r="F242" s="208"/>
      <x:c r="G242" s="209" t="str">
        <x:f>IF($S242="","",IFERROR(VLOOKUP($S242,'Data'!$D$2:$G$14,3,FALSE),""))</x:f>
      </x:c>
      <x:c r="H242" s="210" t="str">
        <x:f>IF($G242="","",$G242/'Data'!$O$2/'Data'!$O$3)</x:f>
      </x:c>
      <x:c r="I242" s="211"/>
      <x:c r="J242" s="209" t="str">
        <x:f>IF(OR($E242="",$I242=""),"",$I242*'Data'!$O$2*'Data'!$O$3)</x:f>
      </x:c>
      <x:c r="K242" s="212" t="str">
        <x:f>IF(OR($J242="",$G242=""),"",$J242/$G242)</x:f>
      </x:c>
      <x:c r="L242" s="213" t="str">
        <x:f>IF($K242="","",VLOOKUP($K242,'Data'!$I$2:$L$6,3,TRUE))</x:f>
      </x:c>
      <x:c r="M242" s="210" t="str">
        <x:f>IF($L242="","",$I242*$L242)</x:f>
      </x:c>
      <x:c r="N242" s="214" t="str">
        <x:f>IF($M242="","",ROUNDDOWN($I242+$M242,2))</x:f>
      </x:c>
      <x:c r="O242" s="210" t="str">
        <x:f>IF($N242="","",ROUNDDOWN(ROUNDDOWN($N242,2)*$R242,3))</x:f>
      </x:c>
      <x:c r="P242" s="215"/>
      <x:c r="Q242" s="222" t="str">
        <x:f>IF($E242="","",IF(OR(RIGHT(UPPER(TRIM(SUBSTITUTE(CLEAN($E242),CHAR(160)," "))),2)="P1",RIGHT(UPPER(TRIM(SUBSTITUTE(CLEAN($E242),CHAR(160)," "))),2)="P2",RIGHT(UPPER(TRIM(SUBSTITUTE(CLEAN($E242),CHAR(160)," "))),2)="P3",RIGHT(UPPER(TRIM(SUBSTITUTE(CLEAN($E242),CHAR(160)," "))),2)="P4",ISNUMBER(SEARCH("INDUSTRIAL HYGIENIST 1 ENVIRONMENT",UPPER(TRIM(SUBSTITUTE(CLEAN($E242),CHAR(160)," ")))))),"PS","GS"))</x:f>
      </x:c>
      <x:c r="R242" s="223" t="str">
        <x:f>IF($Q242="","",IF($Q242="PS",'Data'!$O$5,'Data'!$O$4))</x:f>
      </x:c>
      <x:c r="S242" s="224" t="str">
        <x:f>IF($E242="","",IFERROR(VLOOKUP($E242,'Data'!$A$2:$B$114,2,FALSE),""))</x:f>
      </x:c>
      <x:c r="T242" s="217" t="str">
        <x:f>IF($K242="","",VLOOKUP($K242,'Data'!$I$2:$L$6,2,TRUE))</x:f>
      </x:c>
      <x:c r="U242" s="217"/>
      <x:c r="V242" s="221" t="str">
        <x:f>IF($L242="","",$J242*$L242)</x:f>
      </x:c>
      <x:c r="W242" s="221" t="str">
        <x:f>IF($V242="","",$J242+$V242)</x:f>
      </x:c>
      <x:c r="X242" s="217" t="str">
        <x:f>IF($Y242="Ready","Review and inform supplier","")</x:f>
      </x:c>
      <x:c r="Y242" s="217" t="str">
        <x:f>IF(AND($B242="",$E242="",$I242=""),"",IF($B242="","Missing Assignment Number",IF($E242="","Select Job Title",IF($I242="","Enter Pay Rate",IF($S242="","Job Title not found","Ready")))))</x:f>
      </x:c>
    </x:row>
    <x:row r="243" ht="22" customHeight="1">
      <x:c r="A243" s="205"/>
      <x:c r="B243" s="205"/>
      <x:c r="C243" s="206"/>
      <x:c r="D243" s="205"/>
      <x:c r="E243" s="207"/>
      <x:c r="F243" s="208"/>
      <x:c r="G243" s="209" t="str">
        <x:f>IF($S243="","",IFERROR(VLOOKUP($S243,'Data'!$D$2:$G$14,3,FALSE),""))</x:f>
      </x:c>
      <x:c r="H243" s="210" t="str">
        <x:f>IF($G243="","",$G243/'Data'!$O$2/'Data'!$O$3)</x:f>
      </x:c>
      <x:c r="I243" s="211"/>
      <x:c r="J243" s="209" t="str">
        <x:f>IF(OR($E243="",$I243=""),"",$I243*'Data'!$O$2*'Data'!$O$3)</x:f>
      </x:c>
      <x:c r="K243" s="212" t="str">
        <x:f>IF(OR($J243="",$G243=""),"",$J243/$G243)</x:f>
      </x:c>
      <x:c r="L243" s="213" t="str">
        <x:f>IF($K243="","",VLOOKUP($K243,'Data'!$I$2:$L$6,3,TRUE))</x:f>
      </x:c>
      <x:c r="M243" s="210" t="str">
        <x:f>IF($L243="","",$I243*$L243)</x:f>
      </x:c>
      <x:c r="N243" s="214" t="str">
        <x:f>IF($M243="","",ROUNDDOWN($I243+$M243,2))</x:f>
      </x:c>
      <x:c r="O243" s="210" t="str">
        <x:f>IF($N243="","",ROUNDDOWN(ROUNDDOWN($N243,2)*$R243,3))</x:f>
      </x:c>
      <x:c r="P243" s="215"/>
      <x:c r="Q243" s="222" t="str">
        <x:f>IF($E243="","",IF(OR(RIGHT(UPPER(TRIM(SUBSTITUTE(CLEAN($E243),CHAR(160)," "))),2)="P1",RIGHT(UPPER(TRIM(SUBSTITUTE(CLEAN($E243),CHAR(160)," "))),2)="P2",RIGHT(UPPER(TRIM(SUBSTITUTE(CLEAN($E243),CHAR(160)," "))),2)="P3",RIGHT(UPPER(TRIM(SUBSTITUTE(CLEAN($E243),CHAR(160)," "))),2)="P4",ISNUMBER(SEARCH("INDUSTRIAL HYGIENIST 1 ENVIRONMENT",UPPER(TRIM(SUBSTITUTE(CLEAN($E243),CHAR(160)," ")))))),"PS","GS"))</x:f>
      </x:c>
      <x:c r="R243" s="223" t="str">
        <x:f>IF($Q243="","",IF($Q243="PS",'Data'!$O$5,'Data'!$O$4))</x:f>
      </x:c>
      <x:c r="S243" s="224" t="str">
        <x:f>IF($E243="","",IFERROR(VLOOKUP($E243,'Data'!$A$2:$B$114,2,FALSE),""))</x:f>
      </x:c>
      <x:c r="T243" s="217" t="str">
        <x:f>IF($K243="","",VLOOKUP($K243,'Data'!$I$2:$L$6,2,TRUE))</x:f>
      </x:c>
      <x:c r="U243" s="217"/>
      <x:c r="V243" s="221" t="str">
        <x:f>IF($L243="","",$J243*$L243)</x:f>
      </x:c>
      <x:c r="W243" s="221" t="str">
        <x:f>IF($V243="","",$J243+$V243)</x:f>
      </x:c>
      <x:c r="X243" s="217" t="str">
        <x:f>IF($Y243="Ready","Review and inform supplier","")</x:f>
      </x:c>
      <x:c r="Y243" s="217" t="str">
        <x:f>IF(AND($B243="",$E243="",$I243=""),"",IF($B243="","Missing Assignment Number",IF($E243="","Select Job Title",IF($I243="","Enter Pay Rate",IF($S243="","Job Title not found","Ready")))))</x:f>
      </x:c>
    </x:row>
    <x:row r="244" ht="22" customHeight="1">
      <x:c r="A244" s="205"/>
      <x:c r="B244" s="205"/>
      <x:c r="C244" s="206"/>
      <x:c r="D244" s="205"/>
      <x:c r="E244" s="207"/>
      <x:c r="F244" s="208"/>
      <x:c r="G244" s="209" t="str">
        <x:f>IF($S244="","",IFERROR(VLOOKUP($S244,'Data'!$D$2:$G$14,3,FALSE),""))</x:f>
      </x:c>
      <x:c r="H244" s="210" t="str">
        <x:f>IF($G244="","",$G244/'Data'!$O$2/'Data'!$O$3)</x:f>
      </x:c>
      <x:c r="I244" s="211"/>
      <x:c r="J244" s="209" t="str">
        <x:f>IF(OR($E244="",$I244=""),"",$I244*'Data'!$O$2*'Data'!$O$3)</x:f>
      </x:c>
      <x:c r="K244" s="212" t="str">
        <x:f>IF(OR($J244="",$G244=""),"",$J244/$G244)</x:f>
      </x:c>
      <x:c r="L244" s="213" t="str">
        <x:f>IF($K244="","",VLOOKUP($K244,'Data'!$I$2:$L$6,3,TRUE))</x:f>
      </x:c>
      <x:c r="M244" s="210" t="str">
        <x:f>IF($L244="","",$I244*$L244)</x:f>
      </x:c>
      <x:c r="N244" s="214" t="str">
        <x:f>IF($M244="","",ROUNDDOWN($I244+$M244,2))</x:f>
      </x:c>
      <x:c r="O244" s="210" t="str">
        <x:f>IF($N244="","",ROUNDDOWN(ROUNDDOWN($N244,2)*$R244,3))</x:f>
      </x:c>
      <x:c r="P244" s="215"/>
      <x:c r="Q244" s="222" t="str">
        <x:f>IF($E244="","",IF(OR(RIGHT(UPPER(TRIM(SUBSTITUTE(CLEAN($E244),CHAR(160)," "))),2)="P1",RIGHT(UPPER(TRIM(SUBSTITUTE(CLEAN($E244),CHAR(160)," "))),2)="P2",RIGHT(UPPER(TRIM(SUBSTITUTE(CLEAN($E244),CHAR(160)," "))),2)="P3",RIGHT(UPPER(TRIM(SUBSTITUTE(CLEAN($E244),CHAR(160)," "))),2)="P4",ISNUMBER(SEARCH("INDUSTRIAL HYGIENIST 1 ENVIRONMENT",UPPER(TRIM(SUBSTITUTE(CLEAN($E244),CHAR(160)," ")))))),"PS","GS"))</x:f>
      </x:c>
      <x:c r="R244" s="223" t="str">
        <x:f>IF($Q244="","",IF($Q244="PS",'Data'!$O$5,'Data'!$O$4))</x:f>
      </x:c>
      <x:c r="S244" s="224" t="str">
        <x:f>IF($E244="","",IFERROR(VLOOKUP($E244,'Data'!$A$2:$B$114,2,FALSE),""))</x:f>
      </x:c>
      <x:c r="T244" s="217" t="str">
        <x:f>IF($K244="","",VLOOKUP($K244,'Data'!$I$2:$L$6,2,TRUE))</x:f>
      </x:c>
      <x:c r="U244" s="217"/>
      <x:c r="V244" s="221" t="str">
        <x:f>IF($L244="","",$J244*$L244)</x:f>
      </x:c>
      <x:c r="W244" s="221" t="str">
        <x:f>IF($V244="","",$J244+$V244)</x:f>
      </x:c>
      <x:c r="X244" s="217" t="str">
        <x:f>IF($Y244="Ready","Review and inform supplier","")</x:f>
      </x:c>
      <x:c r="Y244" s="217" t="str">
        <x:f>IF(AND($B244="",$E244="",$I244=""),"",IF($B244="","Missing Assignment Number",IF($E244="","Select Job Title",IF($I244="","Enter Pay Rate",IF($S244="","Job Title not found","Ready")))))</x:f>
      </x:c>
    </x:row>
    <x:row r="245" ht="22" customHeight="1">
      <x:c r="A245" s="205"/>
      <x:c r="B245" s="205"/>
      <x:c r="C245" s="206"/>
      <x:c r="D245" s="205"/>
      <x:c r="E245" s="207"/>
      <x:c r="F245" s="208"/>
      <x:c r="G245" s="209" t="str">
        <x:f>IF($S245="","",IFERROR(VLOOKUP($S245,'Data'!$D$2:$G$14,3,FALSE),""))</x:f>
      </x:c>
      <x:c r="H245" s="210" t="str">
        <x:f>IF($G245="","",$G245/'Data'!$O$2/'Data'!$O$3)</x:f>
      </x:c>
      <x:c r="I245" s="211"/>
      <x:c r="J245" s="209" t="str">
        <x:f>IF(OR($E245="",$I245=""),"",$I245*'Data'!$O$2*'Data'!$O$3)</x:f>
      </x:c>
      <x:c r="K245" s="212" t="str">
        <x:f>IF(OR($J245="",$G245=""),"",$J245/$G245)</x:f>
      </x:c>
      <x:c r="L245" s="213" t="str">
        <x:f>IF($K245="","",VLOOKUP($K245,'Data'!$I$2:$L$6,3,TRUE))</x:f>
      </x:c>
      <x:c r="M245" s="210" t="str">
        <x:f>IF($L245="","",$I245*$L245)</x:f>
      </x:c>
      <x:c r="N245" s="214" t="str">
        <x:f>IF($M245="","",ROUNDDOWN($I245+$M245,2))</x:f>
      </x:c>
      <x:c r="O245" s="210" t="str">
        <x:f>IF($N245="","",ROUNDDOWN(ROUNDDOWN($N245,2)*$R245,3))</x:f>
      </x:c>
      <x:c r="P245" s="215"/>
      <x:c r="Q245" s="222" t="str">
        <x:f>IF($E245="","",IF(OR(RIGHT(UPPER(TRIM(SUBSTITUTE(CLEAN($E245),CHAR(160)," "))),2)="P1",RIGHT(UPPER(TRIM(SUBSTITUTE(CLEAN($E245),CHAR(160)," "))),2)="P2",RIGHT(UPPER(TRIM(SUBSTITUTE(CLEAN($E245),CHAR(160)," "))),2)="P3",RIGHT(UPPER(TRIM(SUBSTITUTE(CLEAN($E245),CHAR(160)," "))),2)="P4",ISNUMBER(SEARCH("INDUSTRIAL HYGIENIST 1 ENVIRONMENT",UPPER(TRIM(SUBSTITUTE(CLEAN($E245),CHAR(160)," ")))))),"PS","GS"))</x:f>
      </x:c>
      <x:c r="R245" s="223" t="str">
        <x:f>IF($Q245="","",IF($Q245="PS",'Data'!$O$5,'Data'!$O$4))</x:f>
      </x:c>
      <x:c r="S245" s="224" t="str">
        <x:f>IF($E245="","",IFERROR(VLOOKUP($E245,'Data'!$A$2:$B$114,2,FALSE),""))</x:f>
      </x:c>
      <x:c r="T245" s="217" t="str">
        <x:f>IF($K245="","",VLOOKUP($K245,'Data'!$I$2:$L$6,2,TRUE))</x:f>
      </x:c>
      <x:c r="U245" s="217"/>
      <x:c r="V245" s="221" t="str">
        <x:f>IF($L245="","",$J245*$L245)</x:f>
      </x:c>
      <x:c r="W245" s="221" t="str">
        <x:f>IF($V245="","",$J245+$V245)</x:f>
      </x:c>
      <x:c r="X245" s="217" t="str">
        <x:f>IF($Y245="Ready","Review and inform supplier","")</x:f>
      </x:c>
      <x:c r="Y245" s="217" t="str">
        <x:f>IF(AND($B245="",$E245="",$I245=""),"",IF($B245="","Missing Assignment Number",IF($E245="","Select Job Title",IF($I245="","Enter Pay Rate",IF($S245="","Job Title not found","Ready")))))</x:f>
      </x:c>
    </x:row>
    <x:row r="246" ht="22" customHeight="1">
      <x:c r="A246" s="205"/>
      <x:c r="B246" s="205"/>
      <x:c r="C246" s="206"/>
      <x:c r="D246" s="205"/>
      <x:c r="E246" s="207"/>
      <x:c r="F246" s="208"/>
      <x:c r="G246" s="209" t="str">
        <x:f>IF($S246="","",IFERROR(VLOOKUP($S246,'Data'!$D$2:$G$14,3,FALSE),""))</x:f>
      </x:c>
      <x:c r="H246" s="210" t="str">
        <x:f>IF($G246="","",$G246/'Data'!$O$2/'Data'!$O$3)</x:f>
      </x:c>
      <x:c r="I246" s="211"/>
      <x:c r="J246" s="209" t="str">
        <x:f>IF(OR($E246="",$I246=""),"",$I246*'Data'!$O$2*'Data'!$O$3)</x:f>
      </x:c>
      <x:c r="K246" s="212" t="str">
        <x:f>IF(OR($J246="",$G246=""),"",$J246/$G246)</x:f>
      </x:c>
      <x:c r="L246" s="213" t="str">
        <x:f>IF($K246="","",VLOOKUP($K246,'Data'!$I$2:$L$6,3,TRUE))</x:f>
      </x:c>
      <x:c r="M246" s="210" t="str">
        <x:f>IF($L246="","",$I246*$L246)</x:f>
      </x:c>
      <x:c r="N246" s="214" t="str">
        <x:f>IF($M246="","",ROUNDDOWN($I246+$M246,2))</x:f>
      </x:c>
      <x:c r="O246" s="210" t="str">
        <x:f>IF($N246="","",ROUNDDOWN(ROUNDDOWN($N246,2)*$R246,3))</x:f>
      </x:c>
      <x:c r="P246" s="215"/>
      <x:c r="Q246" s="222" t="str">
        <x:f>IF($E246="","",IF(OR(RIGHT(UPPER(TRIM(SUBSTITUTE(CLEAN($E246),CHAR(160)," "))),2)="P1",RIGHT(UPPER(TRIM(SUBSTITUTE(CLEAN($E246),CHAR(160)," "))),2)="P2",RIGHT(UPPER(TRIM(SUBSTITUTE(CLEAN($E246),CHAR(160)," "))),2)="P3",RIGHT(UPPER(TRIM(SUBSTITUTE(CLEAN($E246),CHAR(160)," "))),2)="P4",ISNUMBER(SEARCH("INDUSTRIAL HYGIENIST 1 ENVIRONMENT",UPPER(TRIM(SUBSTITUTE(CLEAN($E246),CHAR(160)," ")))))),"PS","GS"))</x:f>
      </x:c>
      <x:c r="R246" s="223" t="str">
        <x:f>IF($Q246="","",IF($Q246="PS",'Data'!$O$5,'Data'!$O$4))</x:f>
      </x:c>
      <x:c r="S246" s="224" t="str">
        <x:f>IF($E246="","",IFERROR(VLOOKUP($E246,'Data'!$A$2:$B$114,2,FALSE),""))</x:f>
      </x:c>
      <x:c r="T246" s="217" t="str">
        <x:f>IF($K246="","",VLOOKUP($K246,'Data'!$I$2:$L$6,2,TRUE))</x:f>
      </x:c>
      <x:c r="U246" s="217"/>
      <x:c r="V246" s="221" t="str">
        <x:f>IF($L246="","",$J246*$L246)</x:f>
      </x:c>
      <x:c r="W246" s="221" t="str">
        <x:f>IF($V246="","",$J246+$V246)</x:f>
      </x:c>
      <x:c r="X246" s="217" t="str">
        <x:f>IF($Y246="Ready","Review and inform supplier","")</x:f>
      </x:c>
      <x:c r="Y246" s="217" t="str">
        <x:f>IF(AND($B246="",$E246="",$I246=""),"",IF($B246="","Missing Assignment Number",IF($E246="","Select Job Title",IF($I246="","Enter Pay Rate",IF($S246="","Job Title not found","Ready")))))</x:f>
      </x:c>
    </x:row>
    <x:row r="247" ht="22" customHeight="1">
      <x:c r="A247" s="205"/>
      <x:c r="B247" s="205"/>
      <x:c r="C247" s="206"/>
      <x:c r="D247" s="205"/>
      <x:c r="E247" s="207"/>
      <x:c r="F247" s="208"/>
      <x:c r="G247" s="209" t="str">
        <x:f>IF($S247="","",IFERROR(VLOOKUP($S247,'Data'!$D$2:$G$14,3,FALSE),""))</x:f>
      </x:c>
      <x:c r="H247" s="210" t="str">
        <x:f>IF($G247="","",$G247/'Data'!$O$2/'Data'!$O$3)</x:f>
      </x:c>
      <x:c r="I247" s="211"/>
      <x:c r="J247" s="209" t="str">
        <x:f>IF(OR($E247="",$I247=""),"",$I247*'Data'!$O$2*'Data'!$O$3)</x:f>
      </x:c>
      <x:c r="K247" s="212" t="str">
        <x:f>IF(OR($J247="",$G247=""),"",$J247/$G247)</x:f>
      </x:c>
      <x:c r="L247" s="213" t="str">
        <x:f>IF($K247="","",VLOOKUP($K247,'Data'!$I$2:$L$6,3,TRUE))</x:f>
      </x:c>
      <x:c r="M247" s="210" t="str">
        <x:f>IF($L247="","",$I247*$L247)</x:f>
      </x:c>
      <x:c r="N247" s="214" t="str">
        <x:f>IF($M247="","",ROUNDDOWN($I247+$M247,2))</x:f>
      </x:c>
      <x:c r="O247" s="210" t="str">
        <x:f>IF($N247="","",ROUNDDOWN(ROUNDDOWN($N247,2)*$R247,3))</x:f>
      </x:c>
      <x:c r="P247" s="215"/>
      <x:c r="Q247" s="222" t="str">
        <x:f>IF($E247="","",IF(OR(RIGHT(UPPER(TRIM(SUBSTITUTE(CLEAN($E247),CHAR(160)," "))),2)="P1",RIGHT(UPPER(TRIM(SUBSTITUTE(CLEAN($E247),CHAR(160)," "))),2)="P2",RIGHT(UPPER(TRIM(SUBSTITUTE(CLEAN($E247),CHAR(160)," "))),2)="P3",RIGHT(UPPER(TRIM(SUBSTITUTE(CLEAN($E247),CHAR(160)," "))),2)="P4",ISNUMBER(SEARCH("INDUSTRIAL HYGIENIST 1 ENVIRONMENT",UPPER(TRIM(SUBSTITUTE(CLEAN($E247),CHAR(160)," ")))))),"PS","GS"))</x:f>
      </x:c>
      <x:c r="R247" s="223" t="str">
        <x:f>IF($Q247="","",IF($Q247="PS",'Data'!$O$5,'Data'!$O$4))</x:f>
      </x:c>
      <x:c r="S247" s="224" t="str">
        <x:f>IF($E247="","",IFERROR(VLOOKUP($E247,'Data'!$A$2:$B$114,2,FALSE),""))</x:f>
      </x:c>
      <x:c r="T247" s="217" t="str">
        <x:f>IF($K247="","",VLOOKUP($K247,'Data'!$I$2:$L$6,2,TRUE))</x:f>
      </x:c>
      <x:c r="U247" s="217"/>
      <x:c r="V247" s="221" t="str">
        <x:f>IF($L247="","",$J247*$L247)</x:f>
      </x:c>
      <x:c r="W247" s="221" t="str">
        <x:f>IF($V247="","",$J247+$V247)</x:f>
      </x:c>
      <x:c r="X247" s="217" t="str">
        <x:f>IF($Y247="Ready","Review and inform supplier","")</x:f>
      </x:c>
      <x:c r="Y247" s="217" t="str">
        <x:f>IF(AND($B247="",$E247="",$I247=""),"",IF($B247="","Missing Assignment Number",IF($E247="","Select Job Title",IF($I247="","Enter Pay Rate",IF($S247="","Job Title not found","Ready")))))</x:f>
      </x:c>
    </x:row>
    <x:row r="248" ht="22" customHeight="1">
      <x:c r="A248" s="205"/>
      <x:c r="B248" s="205"/>
      <x:c r="C248" s="206"/>
      <x:c r="D248" s="205"/>
      <x:c r="E248" s="207"/>
      <x:c r="F248" s="208"/>
      <x:c r="G248" s="209" t="str">
        <x:f>IF($S248="","",IFERROR(VLOOKUP($S248,'Data'!$D$2:$G$14,3,FALSE),""))</x:f>
      </x:c>
      <x:c r="H248" s="210" t="str">
        <x:f>IF($G248="","",$G248/'Data'!$O$2/'Data'!$O$3)</x:f>
      </x:c>
      <x:c r="I248" s="211"/>
      <x:c r="J248" s="209" t="str">
        <x:f>IF(OR($E248="",$I248=""),"",$I248*'Data'!$O$2*'Data'!$O$3)</x:f>
      </x:c>
      <x:c r="K248" s="212" t="str">
        <x:f>IF(OR($J248="",$G248=""),"",$J248/$G248)</x:f>
      </x:c>
      <x:c r="L248" s="213" t="str">
        <x:f>IF($K248="","",VLOOKUP($K248,'Data'!$I$2:$L$6,3,TRUE))</x:f>
      </x:c>
      <x:c r="M248" s="210" t="str">
        <x:f>IF($L248="","",$I248*$L248)</x:f>
      </x:c>
      <x:c r="N248" s="214" t="str">
        <x:f>IF($M248="","",ROUNDDOWN($I248+$M248,2))</x:f>
      </x:c>
      <x:c r="O248" s="210" t="str">
        <x:f>IF($N248="","",ROUNDDOWN(ROUNDDOWN($N248,2)*$R248,3))</x:f>
      </x:c>
      <x:c r="P248" s="215"/>
      <x:c r="Q248" s="222" t="str">
        <x:f>IF($E248="","",IF(OR(RIGHT(UPPER(TRIM(SUBSTITUTE(CLEAN($E248),CHAR(160)," "))),2)="P1",RIGHT(UPPER(TRIM(SUBSTITUTE(CLEAN($E248),CHAR(160)," "))),2)="P2",RIGHT(UPPER(TRIM(SUBSTITUTE(CLEAN($E248),CHAR(160)," "))),2)="P3",RIGHT(UPPER(TRIM(SUBSTITUTE(CLEAN($E248),CHAR(160)," "))),2)="P4",ISNUMBER(SEARCH("INDUSTRIAL HYGIENIST 1 ENVIRONMENT",UPPER(TRIM(SUBSTITUTE(CLEAN($E248),CHAR(160)," ")))))),"PS","GS"))</x:f>
      </x:c>
      <x:c r="R248" s="223" t="str">
        <x:f>IF($Q248="","",IF($Q248="PS",'Data'!$O$5,'Data'!$O$4))</x:f>
      </x:c>
      <x:c r="S248" s="224" t="str">
        <x:f>IF($E248="","",IFERROR(VLOOKUP($E248,'Data'!$A$2:$B$114,2,FALSE),""))</x:f>
      </x:c>
      <x:c r="T248" s="217" t="str">
        <x:f>IF($K248="","",VLOOKUP($K248,'Data'!$I$2:$L$6,2,TRUE))</x:f>
      </x:c>
      <x:c r="U248" s="217"/>
      <x:c r="V248" s="221" t="str">
        <x:f>IF($L248="","",$J248*$L248)</x:f>
      </x:c>
      <x:c r="W248" s="221" t="str">
        <x:f>IF($V248="","",$J248+$V248)</x:f>
      </x:c>
      <x:c r="X248" s="217" t="str">
        <x:f>IF($Y248="Ready","Review and inform supplier","")</x:f>
      </x:c>
      <x:c r="Y248" s="217" t="str">
        <x:f>IF(AND($B248="",$E248="",$I248=""),"",IF($B248="","Missing Assignment Number",IF($E248="","Select Job Title",IF($I248="","Enter Pay Rate",IF($S248="","Job Title not found","Ready")))))</x:f>
      </x:c>
    </x:row>
    <x:row r="249" ht="22" customHeight="1">
      <x:c r="A249" s="205"/>
      <x:c r="B249" s="205"/>
      <x:c r="C249" s="206"/>
      <x:c r="D249" s="205"/>
      <x:c r="E249" s="207"/>
      <x:c r="F249" s="208"/>
      <x:c r="G249" s="209" t="str">
        <x:f>IF($S249="","",IFERROR(VLOOKUP($S249,'Data'!$D$2:$G$14,3,FALSE),""))</x:f>
      </x:c>
      <x:c r="H249" s="210" t="str">
        <x:f>IF($G249="","",$G249/'Data'!$O$2/'Data'!$O$3)</x:f>
      </x:c>
      <x:c r="I249" s="211"/>
      <x:c r="J249" s="209" t="str">
        <x:f>IF(OR($E249="",$I249=""),"",$I249*'Data'!$O$2*'Data'!$O$3)</x:f>
      </x:c>
      <x:c r="K249" s="212" t="str">
        <x:f>IF(OR($J249="",$G249=""),"",$J249/$G249)</x:f>
      </x:c>
      <x:c r="L249" s="213" t="str">
        <x:f>IF($K249="","",VLOOKUP($K249,'Data'!$I$2:$L$6,3,TRUE))</x:f>
      </x:c>
      <x:c r="M249" s="210" t="str">
        <x:f>IF($L249="","",$I249*$L249)</x:f>
      </x:c>
      <x:c r="N249" s="214" t="str">
        <x:f>IF($M249="","",ROUNDDOWN($I249+$M249,2))</x:f>
      </x:c>
      <x:c r="O249" s="210" t="str">
        <x:f>IF($N249="","",ROUNDDOWN(ROUNDDOWN($N249,2)*$R249,3))</x:f>
      </x:c>
      <x:c r="P249" s="215"/>
      <x:c r="Q249" s="222" t="str">
        <x:f>IF($E249="","",IF(OR(RIGHT(UPPER(TRIM(SUBSTITUTE(CLEAN($E249),CHAR(160)," "))),2)="P1",RIGHT(UPPER(TRIM(SUBSTITUTE(CLEAN($E249),CHAR(160)," "))),2)="P2",RIGHT(UPPER(TRIM(SUBSTITUTE(CLEAN($E249),CHAR(160)," "))),2)="P3",RIGHT(UPPER(TRIM(SUBSTITUTE(CLEAN($E249),CHAR(160)," "))),2)="P4",ISNUMBER(SEARCH("INDUSTRIAL HYGIENIST 1 ENVIRONMENT",UPPER(TRIM(SUBSTITUTE(CLEAN($E249),CHAR(160)," ")))))),"PS","GS"))</x:f>
      </x:c>
      <x:c r="R249" s="223" t="str">
        <x:f>IF($Q249="","",IF($Q249="PS",'Data'!$O$5,'Data'!$O$4))</x:f>
      </x:c>
      <x:c r="S249" s="224" t="str">
        <x:f>IF($E249="","",IFERROR(VLOOKUP($E249,'Data'!$A$2:$B$114,2,FALSE),""))</x:f>
      </x:c>
      <x:c r="T249" s="217" t="str">
        <x:f>IF($K249="","",VLOOKUP($K249,'Data'!$I$2:$L$6,2,TRUE))</x:f>
      </x:c>
      <x:c r="U249" s="217"/>
      <x:c r="V249" s="221" t="str">
        <x:f>IF($L249="","",$J249*$L249)</x:f>
      </x:c>
      <x:c r="W249" s="221" t="str">
        <x:f>IF($V249="","",$J249+$V249)</x:f>
      </x:c>
      <x:c r="X249" s="217" t="str">
        <x:f>IF($Y249="Ready","Review and inform supplier","")</x:f>
      </x:c>
      <x:c r="Y249" s="217" t="str">
        <x:f>IF(AND($B249="",$E249="",$I249=""),"",IF($B249="","Missing Assignment Number",IF($E249="","Select Job Title",IF($I249="","Enter Pay Rate",IF($S249="","Job Title not found","Ready")))))</x:f>
      </x:c>
    </x:row>
    <x:row r="250" ht="22" customHeight="1">
      <x:c r="A250" s="205"/>
      <x:c r="B250" s="205"/>
      <x:c r="C250" s="206"/>
      <x:c r="D250" s="205"/>
      <x:c r="E250" s="207"/>
      <x:c r="F250" s="208"/>
      <x:c r="G250" s="209" t="str">
        <x:f>IF($S250="","",IFERROR(VLOOKUP($S250,'Data'!$D$2:$G$14,3,FALSE),""))</x:f>
      </x:c>
      <x:c r="H250" s="210" t="str">
        <x:f>IF($G250="","",$G250/'Data'!$O$2/'Data'!$O$3)</x:f>
      </x:c>
      <x:c r="I250" s="211"/>
      <x:c r="J250" s="209" t="str">
        <x:f>IF(OR($E250="",$I250=""),"",$I250*'Data'!$O$2*'Data'!$O$3)</x:f>
      </x:c>
      <x:c r="K250" s="212" t="str">
        <x:f>IF(OR($J250="",$G250=""),"",$J250/$G250)</x:f>
      </x:c>
      <x:c r="L250" s="213" t="str">
        <x:f>IF($K250="","",VLOOKUP($K250,'Data'!$I$2:$L$6,3,TRUE))</x:f>
      </x:c>
      <x:c r="M250" s="210" t="str">
        <x:f>IF($L250="","",$I250*$L250)</x:f>
      </x:c>
      <x:c r="N250" s="214" t="str">
        <x:f>IF($M250="","",ROUNDDOWN($I250+$M250,2))</x:f>
      </x:c>
      <x:c r="O250" s="210" t="str">
        <x:f>IF($N250="","",ROUNDDOWN(ROUNDDOWN($N250,2)*$R250,3))</x:f>
      </x:c>
      <x:c r="P250" s="215"/>
      <x:c r="Q250" s="222" t="str">
        <x:f>IF($E250="","",IF(OR(RIGHT(UPPER(TRIM(SUBSTITUTE(CLEAN($E250),CHAR(160)," "))),2)="P1",RIGHT(UPPER(TRIM(SUBSTITUTE(CLEAN($E250),CHAR(160)," "))),2)="P2",RIGHT(UPPER(TRIM(SUBSTITUTE(CLEAN($E250),CHAR(160)," "))),2)="P3",RIGHT(UPPER(TRIM(SUBSTITUTE(CLEAN($E250),CHAR(160)," "))),2)="P4",ISNUMBER(SEARCH("INDUSTRIAL HYGIENIST 1 ENVIRONMENT",UPPER(TRIM(SUBSTITUTE(CLEAN($E250),CHAR(160)," ")))))),"PS","GS"))</x:f>
      </x:c>
      <x:c r="R250" s="223" t="str">
        <x:f>IF($Q250="","",IF($Q250="PS",'Data'!$O$5,'Data'!$O$4))</x:f>
      </x:c>
      <x:c r="S250" s="224" t="str">
        <x:f>IF($E250="","",IFERROR(VLOOKUP($E250,'Data'!$A$2:$B$114,2,FALSE),""))</x:f>
      </x:c>
      <x:c r="T250" s="217" t="str">
        <x:f>IF($K250="","",VLOOKUP($K250,'Data'!$I$2:$L$6,2,TRUE))</x:f>
      </x:c>
      <x:c r="U250" s="217"/>
      <x:c r="V250" s="221" t="str">
        <x:f>IF($L250="","",$J250*$L250)</x:f>
      </x:c>
      <x:c r="W250" s="221" t="str">
        <x:f>IF($V250="","",$J250+$V250)</x:f>
      </x:c>
      <x:c r="X250" s="217" t="str">
        <x:f>IF($Y250="Ready","Review and inform supplier","")</x:f>
      </x:c>
      <x:c r="Y250" s="217" t="str">
        <x:f>IF(AND($B250="",$E250="",$I250=""),"",IF($B250="","Missing Assignment Number",IF($E250="","Select Job Title",IF($I250="","Enter Pay Rate",IF($S250="","Job Title not found","Ready")))))</x:f>
      </x:c>
    </x:row>
    <x:row r="251" ht="22" customHeight="1">
      <x:c r="A251" s="205"/>
      <x:c r="B251" s="205"/>
      <x:c r="C251" s="206"/>
      <x:c r="D251" s="205"/>
      <x:c r="E251" s="207"/>
      <x:c r="F251" s="208"/>
      <x:c r="G251" s="209" t="str">
        <x:f>IF($S251="","",IFERROR(VLOOKUP($S251,'Data'!$D$2:$G$14,3,FALSE),""))</x:f>
      </x:c>
      <x:c r="H251" s="210" t="str">
        <x:f>IF($G251="","",$G251/'Data'!$O$2/'Data'!$O$3)</x:f>
      </x:c>
      <x:c r="I251" s="211"/>
      <x:c r="J251" s="209" t="str">
        <x:f>IF(OR($E251="",$I251=""),"",$I251*'Data'!$O$2*'Data'!$O$3)</x:f>
      </x:c>
      <x:c r="K251" s="212" t="str">
        <x:f>IF(OR($J251="",$G251=""),"",$J251/$G251)</x:f>
      </x:c>
      <x:c r="L251" s="213" t="str">
        <x:f>IF($K251="","",VLOOKUP($K251,'Data'!$I$2:$L$6,3,TRUE))</x:f>
      </x:c>
      <x:c r="M251" s="210" t="str">
        <x:f>IF($L251="","",$I251*$L251)</x:f>
      </x:c>
      <x:c r="N251" s="214" t="str">
        <x:f>IF($M251="","",ROUNDDOWN($I251+$M251,2))</x:f>
      </x:c>
      <x:c r="O251" s="210" t="str">
        <x:f>IF($N251="","",ROUNDDOWN(ROUNDDOWN($N251,2)*$R251,3))</x:f>
      </x:c>
      <x:c r="P251" s="215"/>
      <x:c r="Q251" s="222" t="str">
        <x:f>IF($E251="","",IF(OR(RIGHT(UPPER(TRIM(SUBSTITUTE(CLEAN($E251),CHAR(160)," "))),2)="P1",RIGHT(UPPER(TRIM(SUBSTITUTE(CLEAN($E251),CHAR(160)," "))),2)="P2",RIGHT(UPPER(TRIM(SUBSTITUTE(CLEAN($E251),CHAR(160)," "))),2)="P3",RIGHT(UPPER(TRIM(SUBSTITUTE(CLEAN($E251),CHAR(160)," "))),2)="P4",ISNUMBER(SEARCH("INDUSTRIAL HYGIENIST 1 ENVIRONMENT",UPPER(TRIM(SUBSTITUTE(CLEAN($E251),CHAR(160)," ")))))),"PS","GS"))</x:f>
      </x:c>
      <x:c r="R251" s="223" t="str">
        <x:f>IF($Q251="","",IF($Q251="PS",'Data'!$O$5,'Data'!$O$4))</x:f>
      </x:c>
      <x:c r="S251" s="224" t="str">
        <x:f>IF($E251="","",IFERROR(VLOOKUP($E251,'Data'!$A$2:$B$114,2,FALSE),""))</x:f>
      </x:c>
      <x:c r="T251" s="217" t="str">
        <x:f>IF($K251="","",VLOOKUP($K251,'Data'!$I$2:$L$6,2,TRUE))</x:f>
      </x:c>
      <x:c r="U251" s="217"/>
      <x:c r="V251" s="221" t="str">
        <x:f>IF($L251="","",$J251*$L251)</x:f>
      </x:c>
      <x:c r="W251" s="221" t="str">
        <x:f>IF($V251="","",$J251+$V251)</x:f>
      </x:c>
      <x:c r="X251" s="217" t="str">
        <x:f>IF($Y251="Ready","Review and inform supplier","")</x:f>
      </x:c>
      <x:c r="Y251" s="217" t="str">
        <x:f>IF(AND($B251="",$E251="",$I251=""),"",IF($B251="","Missing Assignment Number",IF($E251="","Select Job Title",IF($I251="","Enter Pay Rate",IF($S251="","Job Title not found","Ready")))))</x:f>
      </x:c>
    </x:row>
    <x:row r="252" ht="22" customHeight="1">
      <x:c r="A252" s="205"/>
      <x:c r="B252" s="205"/>
      <x:c r="C252" s="206"/>
      <x:c r="D252" s="205"/>
      <x:c r="E252" s="207"/>
      <x:c r="F252" s="208"/>
      <x:c r="G252" s="209" t="str">
        <x:f>IF($S252="","",IFERROR(VLOOKUP($S252,'Data'!$D$2:$G$14,3,FALSE),""))</x:f>
      </x:c>
      <x:c r="H252" s="210" t="str">
        <x:f>IF($G252="","",$G252/'Data'!$O$2/'Data'!$O$3)</x:f>
      </x:c>
      <x:c r="I252" s="211"/>
      <x:c r="J252" s="209" t="str">
        <x:f>IF(OR($E252="",$I252=""),"",$I252*'Data'!$O$2*'Data'!$O$3)</x:f>
      </x:c>
      <x:c r="K252" s="212" t="str">
        <x:f>IF(OR($J252="",$G252=""),"",$J252/$G252)</x:f>
      </x:c>
      <x:c r="L252" s="213" t="str">
        <x:f>IF($K252="","",VLOOKUP($K252,'Data'!$I$2:$L$6,3,TRUE))</x:f>
      </x:c>
      <x:c r="M252" s="210" t="str">
        <x:f>IF($L252="","",$I252*$L252)</x:f>
      </x:c>
      <x:c r="N252" s="214" t="str">
        <x:f>IF($M252="","",ROUNDDOWN($I252+$M252,2))</x:f>
      </x:c>
      <x:c r="O252" s="210" t="str">
        <x:f>IF($N252="","",ROUNDDOWN(ROUNDDOWN($N252,2)*$R252,3))</x:f>
      </x:c>
      <x:c r="P252" s="215"/>
      <x:c r="Q252" s="222" t="str">
        <x:f>IF($E252="","",IF(OR(RIGHT(UPPER(TRIM(SUBSTITUTE(CLEAN($E252),CHAR(160)," "))),2)="P1",RIGHT(UPPER(TRIM(SUBSTITUTE(CLEAN($E252),CHAR(160)," "))),2)="P2",RIGHT(UPPER(TRIM(SUBSTITUTE(CLEAN($E252),CHAR(160)," "))),2)="P3",RIGHT(UPPER(TRIM(SUBSTITUTE(CLEAN($E252),CHAR(160)," "))),2)="P4",ISNUMBER(SEARCH("INDUSTRIAL HYGIENIST 1 ENVIRONMENT",UPPER(TRIM(SUBSTITUTE(CLEAN($E252),CHAR(160)," ")))))),"PS","GS"))</x:f>
      </x:c>
      <x:c r="R252" s="223" t="str">
        <x:f>IF($Q252="","",IF($Q252="PS",'Data'!$O$5,'Data'!$O$4))</x:f>
      </x:c>
      <x:c r="S252" s="224" t="str">
        <x:f>IF($E252="","",IFERROR(VLOOKUP($E252,'Data'!$A$2:$B$114,2,FALSE),""))</x:f>
      </x:c>
      <x:c r="T252" s="217" t="str">
        <x:f>IF($K252="","",VLOOKUP($K252,'Data'!$I$2:$L$6,2,TRUE))</x:f>
      </x:c>
      <x:c r="U252" s="217"/>
      <x:c r="V252" s="221" t="str">
        <x:f>IF($L252="","",$J252*$L252)</x:f>
      </x:c>
      <x:c r="W252" s="221" t="str">
        <x:f>IF($V252="","",$J252+$V252)</x:f>
      </x:c>
      <x:c r="X252" s="217" t="str">
        <x:f>IF($Y252="Ready","Review and inform supplier","")</x:f>
      </x:c>
      <x:c r="Y252" s="217" t="str">
        <x:f>IF(AND($B252="",$E252="",$I252=""),"",IF($B252="","Missing Assignment Number",IF($E252="","Select Job Title",IF($I252="","Enter Pay Rate",IF($S252="","Job Title not found","Ready")))))</x:f>
      </x:c>
    </x:row>
    <x:row r="253" ht="22" customHeight="1">
      <x:c r="A253" s="205"/>
      <x:c r="B253" s="205"/>
      <x:c r="C253" s="206"/>
      <x:c r="D253" s="205"/>
      <x:c r="E253" s="207"/>
      <x:c r="F253" s="208"/>
      <x:c r="G253" s="209" t="str">
        <x:f>IF($S253="","",IFERROR(VLOOKUP($S253,'Data'!$D$2:$G$14,3,FALSE),""))</x:f>
      </x:c>
      <x:c r="H253" s="210" t="str">
        <x:f>IF($G253="","",$G253/'Data'!$O$2/'Data'!$O$3)</x:f>
      </x:c>
      <x:c r="I253" s="211"/>
      <x:c r="J253" s="209" t="str">
        <x:f>IF(OR($E253="",$I253=""),"",$I253*'Data'!$O$2*'Data'!$O$3)</x:f>
      </x:c>
      <x:c r="K253" s="212" t="str">
        <x:f>IF(OR($J253="",$G253=""),"",$J253/$G253)</x:f>
      </x:c>
      <x:c r="L253" s="213" t="str">
        <x:f>IF($K253="","",VLOOKUP($K253,'Data'!$I$2:$L$6,3,TRUE))</x:f>
      </x:c>
      <x:c r="M253" s="210" t="str">
        <x:f>IF($L253="","",$I253*$L253)</x:f>
      </x:c>
      <x:c r="N253" s="214" t="str">
        <x:f>IF($M253="","",ROUNDDOWN($I253+$M253,2))</x:f>
      </x:c>
      <x:c r="O253" s="210" t="str">
        <x:f>IF($N253="","",ROUNDDOWN(ROUNDDOWN($N253,2)*$R253,3))</x:f>
      </x:c>
      <x:c r="P253" s="215"/>
      <x:c r="Q253" s="222" t="str">
        <x:f>IF($E253="","",IF(OR(RIGHT(UPPER(TRIM(SUBSTITUTE(CLEAN($E253),CHAR(160)," "))),2)="P1",RIGHT(UPPER(TRIM(SUBSTITUTE(CLEAN($E253),CHAR(160)," "))),2)="P2",RIGHT(UPPER(TRIM(SUBSTITUTE(CLEAN($E253),CHAR(160)," "))),2)="P3",RIGHT(UPPER(TRIM(SUBSTITUTE(CLEAN($E253),CHAR(160)," "))),2)="P4",ISNUMBER(SEARCH("INDUSTRIAL HYGIENIST 1 ENVIRONMENT",UPPER(TRIM(SUBSTITUTE(CLEAN($E253),CHAR(160)," ")))))),"PS","GS"))</x:f>
      </x:c>
      <x:c r="R253" s="223" t="str">
        <x:f>IF($Q253="","",IF($Q253="PS",'Data'!$O$5,'Data'!$O$4))</x:f>
      </x:c>
      <x:c r="S253" s="224" t="str">
        <x:f>IF($E253="","",IFERROR(VLOOKUP($E253,'Data'!$A$2:$B$114,2,FALSE),""))</x:f>
      </x:c>
      <x:c r="T253" s="217" t="str">
        <x:f>IF($K253="","",VLOOKUP($K253,'Data'!$I$2:$L$6,2,TRUE))</x:f>
      </x:c>
      <x:c r="U253" s="217"/>
      <x:c r="V253" s="221" t="str">
        <x:f>IF($L253="","",$J253*$L253)</x:f>
      </x:c>
      <x:c r="W253" s="221" t="str">
        <x:f>IF($V253="","",$J253+$V253)</x:f>
      </x:c>
      <x:c r="X253" s="217" t="str">
        <x:f>IF($Y253="Ready","Review and inform supplier","")</x:f>
      </x:c>
      <x:c r="Y253" s="217" t="str">
        <x:f>IF(AND($B253="",$E253="",$I253=""),"",IF($B253="","Missing Assignment Number",IF($E253="","Select Job Title",IF($I253="","Enter Pay Rate",IF($S253="","Job Title not found","Ready")))))</x:f>
      </x:c>
    </x:row>
    <x:row r="254" ht="22" customHeight="1">
      <x:c r="A254" s="205"/>
      <x:c r="B254" s="205"/>
      <x:c r="C254" s="206"/>
      <x:c r="D254" s="205"/>
      <x:c r="E254" s="207"/>
      <x:c r="F254" s="208"/>
      <x:c r="G254" s="209" t="str">
        <x:f>IF($S254="","",IFERROR(VLOOKUP($S254,'Data'!$D$2:$G$14,3,FALSE),""))</x:f>
      </x:c>
      <x:c r="H254" s="210" t="str">
        <x:f>IF($G254="","",$G254/'Data'!$O$2/'Data'!$O$3)</x:f>
      </x:c>
      <x:c r="I254" s="211"/>
      <x:c r="J254" s="209" t="str">
        <x:f>IF(OR($E254="",$I254=""),"",$I254*'Data'!$O$2*'Data'!$O$3)</x:f>
      </x:c>
      <x:c r="K254" s="212" t="str">
        <x:f>IF(OR($J254="",$G254=""),"",$J254/$G254)</x:f>
      </x:c>
      <x:c r="L254" s="213" t="str">
        <x:f>IF($K254="","",VLOOKUP($K254,'Data'!$I$2:$L$6,3,TRUE))</x:f>
      </x:c>
      <x:c r="M254" s="210" t="str">
        <x:f>IF($L254="","",$I254*$L254)</x:f>
      </x:c>
      <x:c r="N254" s="214" t="str">
        <x:f>IF($M254="","",ROUNDDOWN($I254+$M254,2))</x:f>
      </x:c>
      <x:c r="O254" s="210" t="str">
        <x:f>IF($N254="","",ROUNDDOWN(ROUNDDOWN($N254,2)*$R254,3))</x:f>
      </x:c>
      <x:c r="P254" s="215"/>
      <x:c r="Q254" s="222" t="str">
        <x:f>IF($E254="","",IF(OR(RIGHT(UPPER(TRIM(SUBSTITUTE(CLEAN($E254),CHAR(160)," "))),2)="P1",RIGHT(UPPER(TRIM(SUBSTITUTE(CLEAN($E254),CHAR(160)," "))),2)="P2",RIGHT(UPPER(TRIM(SUBSTITUTE(CLEAN($E254),CHAR(160)," "))),2)="P3",RIGHT(UPPER(TRIM(SUBSTITUTE(CLEAN($E254),CHAR(160)," "))),2)="P4",ISNUMBER(SEARCH("INDUSTRIAL HYGIENIST 1 ENVIRONMENT",UPPER(TRIM(SUBSTITUTE(CLEAN($E254),CHAR(160)," ")))))),"PS","GS"))</x:f>
      </x:c>
      <x:c r="R254" s="223" t="str">
        <x:f>IF($Q254="","",IF($Q254="PS",'Data'!$O$5,'Data'!$O$4))</x:f>
      </x:c>
      <x:c r="S254" s="224" t="str">
        <x:f>IF($E254="","",IFERROR(VLOOKUP($E254,'Data'!$A$2:$B$114,2,FALSE),""))</x:f>
      </x:c>
      <x:c r="T254" s="217" t="str">
        <x:f>IF($K254="","",VLOOKUP($K254,'Data'!$I$2:$L$6,2,TRUE))</x:f>
      </x:c>
      <x:c r="U254" s="217"/>
      <x:c r="V254" s="221" t="str">
        <x:f>IF($L254="","",$J254*$L254)</x:f>
      </x:c>
      <x:c r="W254" s="221" t="str">
        <x:f>IF($V254="","",$J254+$V254)</x:f>
      </x:c>
      <x:c r="X254" s="217" t="str">
        <x:f>IF($Y254="Ready","Review and inform supplier","")</x:f>
      </x:c>
      <x:c r="Y254" s="217" t="str">
        <x:f>IF(AND($B254="",$E254="",$I254=""),"",IF($B254="","Missing Assignment Number",IF($E254="","Select Job Title",IF($I254="","Enter Pay Rate",IF($S254="","Job Title not found","Ready")))))</x:f>
      </x:c>
    </x:row>
    <x:row r="255" ht="22" customHeight="1">
      <x:c r="A255" s="205"/>
      <x:c r="B255" s="205"/>
      <x:c r="C255" s="206"/>
      <x:c r="D255" s="205"/>
      <x:c r="E255" s="207"/>
      <x:c r="F255" s="208"/>
      <x:c r="G255" s="209" t="str">
        <x:f>IF($S255="","",IFERROR(VLOOKUP($S255,'Data'!$D$2:$G$14,3,FALSE),""))</x:f>
      </x:c>
      <x:c r="H255" s="210" t="str">
        <x:f>IF($G255="","",$G255/'Data'!$O$2/'Data'!$O$3)</x:f>
      </x:c>
      <x:c r="I255" s="211"/>
      <x:c r="J255" s="209" t="str">
        <x:f>IF(OR($E255="",$I255=""),"",$I255*'Data'!$O$2*'Data'!$O$3)</x:f>
      </x:c>
      <x:c r="K255" s="212" t="str">
        <x:f>IF(OR($J255="",$G255=""),"",$J255/$G255)</x:f>
      </x:c>
      <x:c r="L255" s="213" t="str">
        <x:f>IF($K255="","",VLOOKUP($K255,'Data'!$I$2:$L$6,3,TRUE))</x:f>
      </x:c>
      <x:c r="M255" s="210" t="str">
        <x:f>IF($L255="","",$I255*$L255)</x:f>
      </x:c>
      <x:c r="N255" s="214" t="str">
        <x:f>IF($M255="","",ROUNDDOWN($I255+$M255,2))</x:f>
      </x:c>
      <x:c r="O255" s="210" t="str">
        <x:f>IF($N255="","",ROUNDDOWN(ROUNDDOWN($N255,2)*$R255,3))</x:f>
      </x:c>
      <x:c r="P255" s="215"/>
      <x:c r="Q255" s="222" t="str">
        <x:f>IF($E255="","",IF(OR(RIGHT(UPPER(TRIM(SUBSTITUTE(CLEAN($E255),CHAR(160)," "))),2)="P1",RIGHT(UPPER(TRIM(SUBSTITUTE(CLEAN($E255),CHAR(160)," "))),2)="P2",RIGHT(UPPER(TRIM(SUBSTITUTE(CLEAN($E255),CHAR(160)," "))),2)="P3",RIGHT(UPPER(TRIM(SUBSTITUTE(CLEAN($E255),CHAR(160)," "))),2)="P4",ISNUMBER(SEARCH("INDUSTRIAL HYGIENIST 1 ENVIRONMENT",UPPER(TRIM(SUBSTITUTE(CLEAN($E255),CHAR(160)," ")))))),"PS","GS"))</x:f>
      </x:c>
      <x:c r="R255" s="223" t="str">
        <x:f>IF($Q255="","",IF($Q255="PS",'Data'!$O$5,'Data'!$O$4))</x:f>
      </x:c>
      <x:c r="S255" s="224" t="str">
        <x:f>IF($E255="","",IFERROR(VLOOKUP($E255,'Data'!$A$2:$B$114,2,FALSE),""))</x:f>
      </x:c>
      <x:c r="T255" s="217" t="str">
        <x:f>IF($K255="","",VLOOKUP($K255,'Data'!$I$2:$L$6,2,TRUE))</x:f>
      </x:c>
      <x:c r="U255" s="217"/>
      <x:c r="V255" s="221" t="str">
        <x:f>IF($L255="","",$J255*$L255)</x:f>
      </x:c>
      <x:c r="W255" s="221" t="str">
        <x:f>IF($V255="","",$J255+$V255)</x:f>
      </x:c>
      <x:c r="X255" s="217" t="str">
        <x:f>IF($Y255="Ready","Review and inform supplier","")</x:f>
      </x:c>
      <x:c r="Y255" s="217" t="str">
        <x:f>IF(AND($B255="",$E255="",$I255=""),"",IF($B255="","Missing Assignment Number",IF($E255="","Select Job Title",IF($I255="","Enter Pay Rate",IF($S255="","Job Title not found","Ready")))))</x:f>
      </x:c>
    </x:row>
    <x:row r="256" ht="22" customHeight="1">
      <x:c r="A256" s="205"/>
      <x:c r="B256" s="205"/>
      <x:c r="C256" s="206"/>
      <x:c r="D256" s="205"/>
      <x:c r="E256" s="207"/>
      <x:c r="F256" s="208"/>
      <x:c r="G256" s="209" t="str">
        <x:f>IF($S256="","",IFERROR(VLOOKUP($S256,'Data'!$D$2:$G$14,3,FALSE),""))</x:f>
      </x:c>
      <x:c r="H256" s="210" t="str">
        <x:f>IF($G256="","",$G256/'Data'!$O$2/'Data'!$O$3)</x:f>
      </x:c>
      <x:c r="I256" s="211"/>
      <x:c r="J256" s="209" t="str">
        <x:f>IF(OR($E256="",$I256=""),"",$I256*'Data'!$O$2*'Data'!$O$3)</x:f>
      </x:c>
      <x:c r="K256" s="212" t="str">
        <x:f>IF(OR($J256="",$G256=""),"",$J256/$G256)</x:f>
      </x:c>
      <x:c r="L256" s="213" t="str">
        <x:f>IF($K256="","",VLOOKUP($K256,'Data'!$I$2:$L$6,3,TRUE))</x:f>
      </x:c>
      <x:c r="M256" s="210" t="str">
        <x:f>IF($L256="","",$I256*$L256)</x:f>
      </x:c>
      <x:c r="N256" s="214" t="str">
        <x:f>IF($M256="","",ROUNDDOWN($I256+$M256,2))</x:f>
      </x:c>
      <x:c r="O256" s="210" t="str">
        <x:f>IF($N256="","",ROUNDDOWN(ROUNDDOWN($N256,2)*$R256,3))</x:f>
      </x:c>
      <x:c r="P256" s="215"/>
      <x:c r="Q256" s="222" t="str">
        <x:f>IF($E256="","",IF(OR(RIGHT(UPPER(TRIM(SUBSTITUTE(CLEAN($E256),CHAR(160)," "))),2)="P1",RIGHT(UPPER(TRIM(SUBSTITUTE(CLEAN($E256),CHAR(160)," "))),2)="P2",RIGHT(UPPER(TRIM(SUBSTITUTE(CLEAN($E256),CHAR(160)," "))),2)="P3",RIGHT(UPPER(TRIM(SUBSTITUTE(CLEAN($E256),CHAR(160)," "))),2)="P4",ISNUMBER(SEARCH("INDUSTRIAL HYGIENIST 1 ENVIRONMENT",UPPER(TRIM(SUBSTITUTE(CLEAN($E256),CHAR(160)," ")))))),"PS","GS"))</x:f>
      </x:c>
      <x:c r="R256" s="223" t="str">
        <x:f>IF($Q256="","",IF($Q256="PS",'Data'!$O$5,'Data'!$O$4))</x:f>
      </x:c>
      <x:c r="S256" s="224" t="str">
        <x:f>IF($E256="","",IFERROR(VLOOKUP($E256,'Data'!$A$2:$B$114,2,FALSE),""))</x:f>
      </x:c>
      <x:c r="T256" s="217" t="str">
        <x:f>IF($K256="","",VLOOKUP($K256,'Data'!$I$2:$L$6,2,TRUE))</x:f>
      </x:c>
      <x:c r="U256" s="217"/>
      <x:c r="V256" s="221" t="str">
        <x:f>IF($L256="","",$J256*$L256)</x:f>
      </x:c>
      <x:c r="W256" s="221" t="str">
        <x:f>IF($V256="","",$J256+$V256)</x:f>
      </x:c>
      <x:c r="X256" s="217" t="str">
        <x:f>IF($Y256="Ready","Review and inform supplier","")</x:f>
      </x:c>
      <x:c r="Y256" s="217" t="str">
        <x:f>IF(AND($B256="",$E256="",$I256=""),"",IF($B256="","Missing Assignment Number",IF($E256="","Select Job Title",IF($I256="","Enter Pay Rate",IF($S256="","Job Title not found","Ready")))))</x:f>
      </x:c>
    </x:row>
    <x:row r="257" ht="22" customHeight="1">
      <x:c r="A257" s="205"/>
      <x:c r="B257" s="205"/>
      <x:c r="C257" s="206"/>
      <x:c r="D257" s="205"/>
      <x:c r="E257" s="207"/>
      <x:c r="F257" s="208"/>
      <x:c r="G257" s="209" t="str">
        <x:f>IF($S257="","",IFERROR(VLOOKUP($S257,'Data'!$D$2:$G$14,3,FALSE),""))</x:f>
      </x:c>
      <x:c r="H257" s="210" t="str">
        <x:f>IF($G257="","",$G257/'Data'!$O$2/'Data'!$O$3)</x:f>
      </x:c>
      <x:c r="I257" s="211"/>
      <x:c r="J257" s="209" t="str">
        <x:f>IF(OR($E257="",$I257=""),"",$I257*'Data'!$O$2*'Data'!$O$3)</x:f>
      </x:c>
      <x:c r="K257" s="212" t="str">
        <x:f>IF(OR($J257="",$G257=""),"",$J257/$G257)</x:f>
      </x:c>
      <x:c r="L257" s="213" t="str">
        <x:f>IF($K257="","",VLOOKUP($K257,'Data'!$I$2:$L$6,3,TRUE))</x:f>
      </x:c>
      <x:c r="M257" s="210" t="str">
        <x:f>IF($L257="","",$I257*$L257)</x:f>
      </x:c>
      <x:c r="N257" s="214" t="str">
        <x:f>IF($M257="","",ROUNDDOWN($I257+$M257,2))</x:f>
      </x:c>
      <x:c r="O257" s="210" t="str">
        <x:f>IF($N257="","",ROUNDDOWN(ROUNDDOWN($N257,2)*$R257,3))</x:f>
      </x:c>
      <x:c r="P257" s="215"/>
      <x:c r="Q257" s="222" t="str">
        <x:f>IF($E257="","",IF(OR(RIGHT(UPPER(TRIM(SUBSTITUTE(CLEAN($E257),CHAR(160)," "))),2)="P1",RIGHT(UPPER(TRIM(SUBSTITUTE(CLEAN($E257),CHAR(160)," "))),2)="P2",RIGHT(UPPER(TRIM(SUBSTITUTE(CLEAN($E257),CHAR(160)," "))),2)="P3",RIGHT(UPPER(TRIM(SUBSTITUTE(CLEAN($E257),CHAR(160)," "))),2)="P4",ISNUMBER(SEARCH("INDUSTRIAL HYGIENIST 1 ENVIRONMENT",UPPER(TRIM(SUBSTITUTE(CLEAN($E257),CHAR(160)," ")))))),"PS","GS"))</x:f>
      </x:c>
      <x:c r="R257" s="223" t="str">
        <x:f>IF($Q257="","",IF($Q257="PS",'Data'!$O$5,'Data'!$O$4))</x:f>
      </x:c>
      <x:c r="S257" s="224" t="str">
        <x:f>IF($E257="","",IFERROR(VLOOKUP($E257,'Data'!$A$2:$B$114,2,FALSE),""))</x:f>
      </x:c>
      <x:c r="T257" s="217" t="str">
        <x:f>IF($K257="","",VLOOKUP($K257,'Data'!$I$2:$L$6,2,TRUE))</x:f>
      </x:c>
      <x:c r="U257" s="217"/>
      <x:c r="V257" s="221" t="str">
        <x:f>IF($L257="","",$J257*$L257)</x:f>
      </x:c>
      <x:c r="W257" s="221" t="str">
        <x:f>IF($V257="","",$J257+$V257)</x:f>
      </x:c>
      <x:c r="X257" s="217" t="str">
        <x:f>IF($Y257="Ready","Review and inform supplier","")</x:f>
      </x:c>
      <x:c r="Y257" s="217" t="str">
        <x:f>IF(AND($B257="",$E257="",$I257=""),"",IF($B257="","Missing Assignment Number",IF($E257="","Select Job Title",IF($I257="","Enter Pay Rate",IF($S257="","Job Title not found","Ready")))))</x:f>
      </x:c>
    </x:row>
    <x:row r="258" ht="22" customHeight="1">
      <x:c r="A258" s="205"/>
      <x:c r="B258" s="205"/>
      <x:c r="C258" s="206"/>
      <x:c r="D258" s="205"/>
      <x:c r="E258" s="207"/>
      <x:c r="F258" s="208"/>
      <x:c r="G258" s="209" t="str">
        <x:f>IF($S258="","",IFERROR(VLOOKUP($S258,'Data'!$D$2:$G$14,3,FALSE),""))</x:f>
      </x:c>
      <x:c r="H258" s="210" t="str">
        <x:f>IF($G258="","",$G258/'Data'!$O$2/'Data'!$O$3)</x:f>
      </x:c>
      <x:c r="I258" s="211"/>
      <x:c r="J258" s="209" t="str">
        <x:f>IF(OR($E258="",$I258=""),"",$I258*'Data'!$O$2*'Data'!$O$3)</x:f>
      </x:c>
      <x:c r="K258" s="212" t="str">
        <x:f>IF(OR($J258="",$G258=""),"",$J258/$G258)</x:f>
      </x:c>
      <x:c r="L258" s="213" t="str">
        <x:f>IF($K258="","",VLOOKUP($K258,'Data'!$I$2:$L$6,3,TRUE))</x:f>
      </x:c>
      <x:c r="M258" s="210" t="str">
        <x:f>IF($L258="","",$I258*$L258)</x:f>
      </x:c>
      <x:c r="N258" s="214" t="str">
        <x:f>IF($M258="","",ROUNDDOWN($I258+$M258,2))</x:f>
      </x:c>
      <x:c r="O258" s="210" t="str">
        <x:f>IF($N258="","",ROUNDDOWN(ROUNDDOWN($N258,2)*$R258,3))</x:f>
      </x:c>
      <x:c r="P258" s="215"/>
      <x:c r="Q258" s="222" t="str">
        <x:f>IF($E258="","",IF(OR(RIGHT(UPPER(TRIM(SUBSTITUTE(CLEAN($E258),CHAR(160)," "))),2)="P1",RIGHT(UPPER(TRIM(SUBSTITUTE(CLEAN($E258),CHAR(160)," "))),2)="P2",RIGHT(UPPER(TRIM(SUBSTITUTE(CLEAN($E258),CHAR(160)," "))),2)="P3",RIGHT(UPPER(TRIM(SUBSTITUTE(CLEAN($E258),CHAR(160)," "))),2)="P4",ISNUMBER(SEARCH("INDUSTRIAL HYGIENIST 1 ENVIRONMENT",UPPER(TRIM(SUBSTITUTE(CLEAN($E258),CHAR(160)," ")))))),"PS","GS"))</x:f>
      </x:c>
      <x:c r="R258" s="223" t="str">
        <x:f>IF($Q258="","",IF($Q258="PS",'Data'!$O$5,'Data'!$O$4))</x:f>
      </x:c>
      <x:c r="S258" s="224" t="str">
        <x:f>IF($E258="","",IFERROR(VLOOKUP($E258,'Data'!$A$2:$B$114,2,FALSE),""))</x:f>
      </x:c>
      <x:c r="T258" s="217" t="str">
        <x:f>IF($K258="","",VLOOKUP($K258,'Data'!$I$2:$L$6,2,TRUE))</x:f>
      </x:c>
      <x:c r="U258" s="217"/>
      <x:c r="V258" s="221" t="str">
        <x:f>IF($L258="","",$J258*$L258)</x:f>
      </x:c>
      <x:c r="W258" s="221" t="str">
        <x:f>IF($V258="","",$J258+$V258)</x:f>
      </x:c>
      <x:c r="X258" s="217" t="str">
        <x:f>IF($Y258="Ready","Review and inform supplier","")</x:f>
      </x:c>
      <x:c r="Y258" s="217" t="str">
        <x:f>IF(AND($B258="",$E258="",$I258=""),"",IF($B258="","Missing Assignment Number",IF($E258="","Select Job Title",IF($I258="","Enter Pay Rate",IF($S258="","Job Title not found","Ready")))))</x:f>
      </x:c>
    </x:row>
    <x:row r="259" ht="22" customHeight="1">
      <x:c r="A259" s="205"/>
      <x:c r="B259" s="205"/>
      <x:c r="C259" s="206"/>
      <x:c r="D259" s="205"/>
      <x:c r="E259" s="207"/>
      <x:c r="F259" s="208"/>
      <x:c r="G259" s="209" t="str">
        <x:f>IF($S259="","",IFERROR(VLOOKUP($S259,'Data'!$D$2:$G$14,3,FALSE),""))</x:f>
      </x:c>
      <x:c r="H259" s="210" t="str">
        <x:f>IF($G259="","",$G259/'Data'!$O$2/'Data'!$O$3)</x:f>
      </x:c>
      <x:c r="I259" s="211"/>
      <x:c r="J259" s="209" t="str">
        <x:f>IF(OR($E259="",$I259=""),"",$I259*'Data'!$O$2*'Data'!$O$3)</x:f>
      </x:c>
      <x:c r="K259" s="212" t="str">
        <x:f>IF(OR($J259="",$G259=""),"",$J259/$G259)</x:f>
      </x:c>
      <x:c r="L259" s="213" t="str">
        <x:f>IF($K259="","",VLOOKUP($K259,'Data'!$I$2:$L$6,3,TRUE))</x:f>
      </x:c>
      <x:c r="M259" s="210" t="str">
        <x:f>IF($L259="","",$I259*$L259)</x:f>
      </x:c>
      <x:c r="N259" s="214" t="str">
        <x:f>IF($M259="","",ROUNDDOWN($I259+$M259,2))</x:f>
      </x:c>
      <x:c r="O259" s="210" t="str">
        <x:f>IF($N259="","",ROUNDDOWN(ROUNDDOWN($N259,2)*$R259,3))</x:f>
      </x:c>
      <x:c r="P259" s="215"/>
      <x:c r="Q259" s="222" t="str">
        <x:f>IF($E259="","",IF(OR(RIGHT(UPPER(TRIM(SUBSTITUTE(CLEAN($E259),CHAR(160)," "))),2)="P1",RIGHT(UPPER(TRIM(SUBSTITUTE(CLEAN($E259),CHAR(160)," "))),2)="P2",RIGHT(UPPER(TRIM(SUBSTITUTE(CLEAN($E259),CHAR(160)," "))),2)="P3",RIGHT(UPPER(TRIM(SUBSTITUTE(CLEAN($E259),CHAR(160)," "))),2)="P4",ISNUMBER(SEARCH("INDUSTRIAL HYGIENIST 1 ENVIRONMENT",UPPER(TRIM(SUBSTITUTE(CLEAN($E259),CHAR(160)," ")))))),"PS","GS"))</x:f>
      </x:c>
      <x:c r="R259" s="223" t="str">
        <x:f>IF($Q259="","",IF($Q259="PS",'Data'!$O$5,'Data'!$O$4))</x:f>
      </x:c>
      <x:c r="S259" s="224" t="str">
        <x:f>IF($E259="","",IFERROR(VLOOKUP($E259,'Data'!$A$2:$B$114,2,FALSE),""))</x:f>
      </x:c>
      <x:c r="T259" s="217" t="str">
        <x:f>IF($K259="","",VLOOKUP($K259,'Data'!$I$2:$L$6,2,TRUE))</x:f>
      </x:c>
      <x:c r="U259" s="217"/>
      <x:c r="V259" s="221" t="str">
        <x:f>IF($L259="","",$J259*$L259)</x:f>
      </x:c>
      <x:c r="W259" s="221" t="str">
        <x:f>IF($V259="","",$J259+$V259)</x:f>
      </x:c>
      <x:c r="X259" s="217" t="str">
        <x:f>IF($Y259="Ready","Review and inform supplier","")</x:f>
      </x:c>
      <x:c r="Y259" s="217" t="str">
        <x:f>IF(AND($B259="",$E259="",$I259=""),"",IF($B259="","Missing Assignment Number",IF($E259="","Select Job Title",IF($I259="","Enter Pay Rate",IF($S259="","Job Title not found","Ready")))))</x:f>
      </x:c>
    </x:row>
    <x:row r="260" ht="22" customHeight="1">
      <x:c r="A260" s="205"/>
      <x:c r="B260" s="205"/>
      <x:c r="C260" s="206"/>
      <x:c r="D260" s="205"/>
      <x:c r="E260" s="207"/>
      <x:c r="F260" s="208"/>
      <x:c r="G260" s="209" t="str">
        <x:f>IF($S260="","",IFERROR(VLOOKUP($S260,'Data'!$D$2:$G$14,3,FALSE),""))</x:f>
      </x:c>
      <x:c r="H260" s="210" t="str">
        <x:f>IF($G260="","",$G260/'Data'!$O$2/'Data'!$O$3)</x:f>
      </x:c>
      <x:c r="I260" s="211"/>
      <x:c r="J260" s="209" t="str">
        <x:f>IF(OR($E260="",$I260=""),"",$I260*'Data'!$O$2*'Data'!$O$3)</x:f>
      </x:c>
      <x:c r="K260" s="212" t="str">
        <x:f>IF(OR($J260="",$G260=""),"",$J260/$G260)</x:f>
      </x:c>
      <x:c r="L260" s="213" t="str">
        <x:f>IF($K260="","",VLOOKUP($K260,'Data'!$I$2:$L$6,3,TRUE))</x:f>
      </x:c>
      <x:c r="M260" s="210" t="str">
        <x:f>IF($L260="","",$I260*$L260)</x:f>
      </x:c>
      <x:c r="N260" s="214" t="str">
        <x:f>IF($M260="","",ROUNDDOWN($I260+$M260,2))</x:f>
      </x:c>
      <x:c r="O260" s="210" t="str">
        <x:f>IF($N260="","",ROUNDDOWN(ROUNDDOWN($N260,2)*$R260,3))</x:f>
      </x:c>
      <x:c r="P260" s="215"/>
      <x:c r="Q260" s="222" t="str">
        <x:f>IF($E260="","",IF(OR(RIGHT(UPPER(TRIM(SUBSTITUTE(CLEAN($E260),CHAR(160)," "))),2)="P1",RIGHT(UPPER(TRIM(SUBSTITUTE(CLEAN($E260),CHAR(160)," "))),2)="P2",RIGHT(UPPER(TRIM(SUBSTITUTE(CLEAN($E260),CHAR(160)," "))),2)="P3",RIGHT(UPPER(TRIM(SUBSTITUTE(CLEAN($E260),CHAR(160)," "))),2)="P4",ISNUMBER(SEARCH("INDUSTRIAL HYGIENIST 1 ENVIRONMENT",UPPER(TRIM(SUBSTITUTE(CLEAN($E260),CHAR(160)," ")))))),"PS","GS"))</x:f>
      </x:c>
      <x:c r="R260" s="223" t="str">
        <x:f>IF($Q260="","",IF($Q260="PS",'Data'!$O$5,'Data'!$O$4))</x:f>
      </x:c>
      <x:c r="S260" s="224" t="str">
        <x:f>IF($E260="","",IFERROR(VLOOKUP($E260,'Data'!$A$2:$B$114,2,FALSE),""))</x:f>
      </x:c>
      <x:c r="T260" s="217" t="str">
        <x:f>IF($K260="","",VLOOKUP($K260,'Data'!$I$2:$L$6,2,TRUE))</x:f>
      </x:c>
      <x:c r="U260" s="217"/>
      <x:c r="V260" s="221" t="str">
        <x:f>IF($L260="","",$J260*$L260)</x:f>
      </x:c>
      <x:c r="W260" s="221" t="str">
        <x:f>IF($V260="","",$J260+$V260)</x:f>
      </x:c>
      <x:c r="X260" s="217" t="str">
        <x:f>IF($Y260="Ready","Review and inform supplier","")</x:f>
      </x:c>
      <x:c r="Y260" s="217" t="str">
        <x:f>IF(AND($B260="",$E260="",$I260=""),"",IF($B260="","Missing Assignment Number",IF($E260="","Select Job Title",IF($I260="","Enter Pay Rate",IF($S260="","Job Title not found","Ready")))))</x:f>
      </x:c>
    </x:row>
    <x:row r="261" ht="22" customHeight="1">
      <x:c r="A261" s="205"/>
      <x:c r="B261" s="205"/>
      <x:c r="C261" s="206"/>
      <x:c r="D261" s="205"/>
      <x:c r="E261" s="207"/>
      <x:c r="F261" s="208"/>
      <x:c r="G261" s="209" t="str">
        <x:f>IF($S261="","",IFERROR(VLOOKUP($S261,'Data'!$D$2:$G$14,3,FALSE),""))</x:f>
      </x:c>
      <x:c r="H261" s="210" t="str">
        <x:f>IF($G261="","",$G261/'Data'!$O$2/'Data'!$O$3)</x:f>
      </x:c>
      <x:c r="I261" s="211"/>
      <x:c r="J261" s="209" t="str">
        <x:f>IF(OR($E261="",$I261=""),"",$I261*'Data'!$O$2*'Data'!$O$3)</x:f>
      </x:c>
      <x:c r="K261" s="212" t="str">
        <x:f>IF(OR($J261="",$G261=""),"",$J261/$G261)</x:f>
      </x:c>
      <x:c r="L261" s="213" t="str">
        <x:f>IF($K261="","",VLOOKUP($K261,'Data'!$I$2:$L$6,3,TRUE))</x:f>
      </x:c>
      <x:c r="M261" s="210" t="str">
        <x:f>IF($L261="","",$I261*$L261)</x:f>
      </x:c>
      <x:c r="N261" s="214" t="str">
        <x:f>IF($M261="","",ROUNDDOWN($I261+$M261,2))</x:f>
      </x:c>
      <x:c r="O261" s="210" t="str">
        <x:f>IF($N261="","",ROUNDDOWN(ROUNDDOWN($N261,2)*$R261,3))</x:f>
      </x:c>
      <x:c r="P261" s="215"/>
      <x:c r="Q261" s="222" t="str">
        <x:f>IF($E261="","",IF(OR(RIGHT(UPPER(TRIM(SUBSTITUTE(CLEAN($E261),CHAR(160)," "))),2)="P1",RIGHT(UPPER(TRIM(SUBSTITUTE(CLEAN($E261),CHAR(160)," "))),2)="P2",RIGHT(UPPER(TRIM(SUBSTITUTE(CLEAN($E261),CHAR(160)," "))),2)="P3",RIGHT(UPPER(TRIM(SUBSTITUTE(CLEAN($E261),CHAR(160)," "))),2)="P4",ISNUMBER(SEARCH("INDUSTRIAL HYGIENIST 1 ENVIRONMENT",UPPER(TRIM(SUBSTITUTE(CLEAN($E261),CHAR(160)," ")))))),"PS","GS"))</x:f>
      </x:c>
      <x:c r="R261" s="223" t="str">
        <x:f>IF($Q261="","",IF($Q261="PS",'Data'!$O$5,'Data'!$O$4))</x:f>
      </x:c>
      <x:c r="S261" s="224" t="str">
        <x:f>IF($E261="","",IFERROR(VLOOKUP($E261,'Data'!$A$2:$B$114,2,FALSE),""))</x:f>
      </x:c>
      <x:c r="T261" s="217" t="str">
        <x:f>IF($K261="","",VLOOKUP($K261,'Data'!$I$2:$L$6,2,TRUE))</x:f>
      </x:c>
      <x:c r="U261" s="217"/>
      <x:c r="V261" s="221" t="str">
        <x:f>IF($L261="","",$J261*$L261)</x:f>
      </x:c>
      <x:c r="W261" s="221" t="str">
        <x:f>IF($V261="","",$J261+$V261)</x:f>
      </x:c>
      <x:c r="X261" s="217" t="str">
        <x:f>IF($Y261="Ready","Review and inform supplier","")</x:f>
      </x:c>
      <x:c r="Y261" s="217" t="str">
        <x:f>IF(AND($B261="",$E261="",$I261=""),"",IF($B261="","Missing Assignment Number",IF($E261="","Select Job Title",IF($I261="","Enter Pay Rate",IF($S261="","Job Title not found","Ready")))))</x:f>
      </x:c>
    </x:row>
    <x:row r="262" ht="22" customHeight="1">
      <x:c r="A262" s="205"/>
      <x:c r="B262" s="205"/>
      <x:c r="C262" s="206"/>
      <x:c r="D262" s="205"/>
      <x:c r="E262" s="207"/>
      <x:c r="F262" s="208"/>
      <x:c r="G262" s="209" t="str">
        <x:f>IF($S262="","",IFERROR(VLOOKUP($S262,'Data'!$D$2:$G$14,3,FALSE),""))</x:f>
      </x:c>
      <x:c r="H262" s="210" t="str">
        <x:f>IF($G262="","",$G262/'Data'!$O$2/'Data'!$O$3)</x:f>
      </x:c>
      <x:c r="I262" s="211"/>
      <x:c r="J262" s="209" t="str">
        <x:f>IF(OR($E262="",$I262=""),"",$I262*'Data'!$O$2*'Data'!$O$3)</x:f>
      </x:c>
      <x:c r="K262" s="212" t="str">
        <x:f>IF(OR($J262="",$G262=""),"",$J262/$G262)</x:f>
      </x:c>
      <x:c r="L262" s="213" t="str">
        <x:f>IF($K262="","",VLOOKUP($K262,'Data'!$I$2:$L$6,3,TRUE))</x:f>
      </x:c>
      <x:c r="M262" s="210" t="str">
        <x:f>IF($L262="","",$I262*$L262)</x:f>
      </x:c>
      <x:c r="N262" s="214" t="str">
        <x:f>IF($M262="","",ROUNDDOWN($I262+$M262,2))</x:f>
      </x:c>
      <x:c r="O262" s="210" t="str">
        <x:f>IF($N262="","",ROUNDDOWN(ROUNDDOWN($N262,2)*$R262,3))</x:f>
      </x:c>
      <x:c r="P262" s="215"/>
      <x:c r="Q262" s="222" t="str">
        <x:f>IF($E262="","",IF(OR(RIGHT(UPPER(TRIM(SUBSTITUTE(CLEAN($E262),CHAR(160)," "))),2)="P1",RIGHT(UPPER(TRIM(SUBSTITUTE(CLEAN($E262),CHAR(160)," "))),2)="P2",RIGHT(UPPER(TRIM(SUBSTITUTE(CLEAN($E262),CHAR(160)," "))),2)="P3",RIGHT(UPPER(TRIM(SUBSTITUTE(CLEAN($E262),CHAR(160)," "))),2)="P4",ISNUMBER(SEARCH("INDUSTRIAL HYGIENIST 1 ENVIRONMENT",UPPER(TRIM(SUBSTITUTE(CLEAN($E262),CHAR(160)," ")))))),"PS","GS"))</x:f>
      </x:c>
      <x:c r="R262" s="223" t="str">
        <x:f>IF($Q262="","",IF($Q262="PS",'Data'!$O$5,'Data'!$O$4))</x:f>
      </x:c>
      <x:c r="S262" s="224" t="str">
        <x:f>IF($E262="","",IFERROR(VLOOKUP($E262,'Data'!$A$2:$B$114,2,FALSE),""))</x:f>
      </x:c>
      <x:c r="T262" s="217" t="str">
        <x:f>IF($K262="","",VLOOKUP($K262,'Data'!$I$2:$L$6,2,TRUE))</x:f>
      </x:c>
      <x:c r="U262" s="217"/>
      <x:c r="V262" s="221" t="str">
        <x:f>IF($L262="","",$J262*$L262)</x:f>
      </x:c>
      <x:c r="W262" s="221" t="str">
        <x:f>IF($V262="","",$J262+$V262)</x:f>
      </x:c>
      <x:c r="X262" s="217" t="str">
        <x:f>IF($Y262="Ready","Review and inform supplier","")</x:f>
      </x:c>
      <x:c r="Y262" s="217" t="str">
        <x:f>IF(AND($B262="",$E262="",$I262=""),"",IF($B262="","Missing Assignment Number",IF($E262="","Select Job Title",IF($I262="","Enter Pay Rate",IF($S262="","Job Title not found","Ready")))))</x:f>
      </x:c>
    </x:row>
    <x:row r="263" ht="22" customHeight="1">
      <x:c r="A263" s="205"/>
      <x:c r="B263" s="205"/>
      <x:c r="C263" s="206"/>
      <x:c r="D263" s="205"/>
      <x:c r="E263" s="207"/>
      <x:c r="F263" s="208"/>
      <x:c r="G263" s="209" t="str">
        <x:f>IF($S263="","",IFERROR(VLOOKUP($S263,'Data'!$D$2:$G$14,3,FALSE),""))</x:f>
      </x:c>
      <x:c r="H263" s="210" t="str">
        <x:f>IF($G263="","",$G263/'Data'!$O$2/'Data'!$O$3)</x:f>
      </x:c>
      <x:c r="I263" s="211"/>
      <x:c r="J263" s="209" t="str">
        <x:f>IF(OR($E263="",$I263=""),"",$I263*'Data'!$O$2*'Data'!$O$3)</x:f>
      </x:c>
      <x:c r="K263" s="212" t="str">
        <x:f>IF(OR($J263="",$G263=""),"",$J263/$G263)</x:f>
      </x:c>
      <x:c r="L263" s="213" t="str">
        <x:f>IF($K263="","",VLOOKUP($K263,'Data'!$I$2:$L$6,3,TRUE))</x:f>
      </x:c>
      <x:c r="M263" s="210" t="str">
        <x:f>IF($L263="","",$I263*$L263)</x:f>
      </x:c>
      <x:c r="N263" s="214" t="str">
        <x:f>IF($M263="","",ROUNDDOWN($I263+$M263,2))</x:f>
      </x:c>
      <x:c r="O263" s="210" t="str">
        <x:f>IF($N263="","",ROUNDDOWN(ROUNDDOWN($N263,2)*$R263,3))</x:f>
      </x:c>
      <x:c r="P263" s="215"/>
      <x:c r="Q263" s="222" t="str">
        <x:f>IF($E263="","",IF(OR(RIGHT(UPPER(TRIM(SUBSTITUTE(CLEAN($E263),CHAR(160)," "))),2)="P1",RIGHT(UPPER(TRIM(SUBSTITUTE(CLEAN($E263),CHAR(160)," "))),2)="P2",RIGHT(UPPER(TRIM(SUBSTITUTE(CLEAN($E263),CHAR(160)," "))),2)="P3",RIGHT(UPPER(TRIM(SUBSTITUTE(CLEAN($E263),CHAR(160)," "))),2)="P4",ISNUMBER(SEARCH("INDUSTRIAL HYGIENIST 1 ENVIRONMENT",UPPER(TRIM(SUBSTITUTE(CLEAN($E263),CHAR(160)," ")))))),"PS","GS"))</x:f>
      </x:c>
      <x:c r="R263" s="223" t="str">
        <x:f>IF($Q263="","",IF($Q263="PS",'Data'!$O$5,'Data'!$O$4))</x:f>
      </x:c>
      <x:c r="S263" s="224" t="str">
        <x:f>IF($E263="","",IFERROR(VLOOKUP($E263,'Data'!$A$2:$B$114,2,FALSE),""))</x:f>
      </x:c>
      <x:c r="T263" s="217" t="str">
        <x:f>IF($K263="","",VLOOKUP($K263,'Data'!$I$2:$L$6,2,TRUE))</x:f>
      </x:c>
      <x:c r="U263" s="217"/>
      <x:c r="V263" s="221" t="str">
        <x:f>IF($L263="","",$J263*$L263)</x:f>
      </x:c>
      <x:c r="W263" s="221" t="str">
        <x:f>IF($V263="","",$J263+$V263)</x:f>
      </x:c>
      <x:c r="X263" s="217" t="str">
        <x:f>IF($Y263="Ready","Review and inform supplier","")</x:f>
      </x:c>
      <x:c r="Y263" s="217" t="str">
        <x:f>IF(AND($B263="",$E263="",$I263=""),"",IF($B263="","Missing Assignment Number",IF($E263="","Select Job Title",IF($I263="","Enter Pay Rate",IF($S263="","Job Title not found","Ready")))))</x:f>
      </x:c>
    </x:row>
    <x:row r="264" ht="22" customHeight="1">
      <x:c r="A264" s="205"/>
      <x:c r="B264" s="205"/>
      <x:c r="C264" s="206"/>
      <x:c r="D264" s="205"/>
      <x:c r="E264" s="207"/>
      <x:c r="F264" s="208"/>
      <x:c r="G264" s="209" t="str">
        <x:f>IF($S264="","",IFERROR(VLOOKUP($S264,'Data'!$D$2:$G$14,3,FALSE),""))</x:f>
      </x:c>
      <x:c r="H264" s="210" t="str">
        <x:f>IF($G264="","",$G264/'Data'!$O$2/'Data'!$O$3)</x:f>
      </x:c>
      <x:c r="I264" s="211"/>
      <x:c r="J264" s="209" t="str">
        <x:f>IF(OR($E264="",$I264=""),"",$I264*'Data'!$O$2*'Data'!$O$3)</x:f>
      </x:c>
      <x:c r="K264" s="212" t="str">
        <x:f>IF(OR($J264="",$G264=""),"",$J264/$G264)</x:f>
      </x:c>
      <x:c r="L264" s="213" t="str">
        <x:f>IF($K264="","",VLOOKUP($K264,'Data'!$I$2:$L$6,3,TRUE))</x:f>
      </x:c>
      <x:c r="M264" s="210" t="str">
        <x:f>IF($L264="","",$I264*$L264)</x:f>
      </x:c>
      <x:c r="N264" s="214" t="str">
        <x:f>IF($M264="","",ROUNDDOWN($I264+$M264,2))</x:f>
      </x:c>
      <x:c r="O264" s="210" t="str">
        <x:f>IF($N264="","",ROUNDDOWN(ROUNDDOWN($N264,2)*$R264,3))</x:f>
      </x:c>
      <x:c r="P264" s="215"/>
      <x:c r="Q264" s="222" t="str">
        <x:f>IF($E264="","",IF(OR(RIGHT(UPPER(TRIM(SUBSTITUTE(CLEAN($E264),CHAR(160)," "))),2)="P1",RIGHT(UPPER(TRIM(SUBSTITUTE(CLEAN($E264),CHAR(160)," "))),2)="P2",RIGHT(UPPER(TRIM(SUBSTITUTE(CLEAN($E264),CHAR(160)," "))),2)="P3",RIGHT(UPPER(TRIM(SUBSTITUTE(CLEAN($E264),CHAR(160)," "))),2)="P4",ISNUMBER(SEARCH("INDUSTRIAL HYGIENIST 1 ENVIRONMENT",UPPER(TRIM(SUBSTITUTE(CLEAN($E264),CHAR(160)," ")))))),"PS","GS"))</x:f>
      </x:c>
      <x:c r="R264" s="223" t="str">
        <x:f>IF($Q264="","",IF($Q264="PS",'Data'!$O$5,'Data'!$O$4))</x:f>
      </x:c>
      <x:c r="S264" s="224" t="str">
        <x:f>IF($E264="","",IFERROR(VLOOKUP($E264,'Data'!$A$2:$B$114,2,FALSE),""))</x:f>
      </x:c>
      <x:c r="T264" s="217" t="str">
        <x:f>IF($K264="","",VLOOKUP($K264,'Data'!$I$2:$L$6,2,TRUE))</x:f>
      </x:c>
      <x:c r="U264" s="217"/>
      <x:c r="V264" s="221" t="str">
        <x:f>IF($L264="","",$J264*$L264)</x:f>
      </x:c>
      <x:c r="W264" s="221" t="str">
        <x:f>IF($V264="","",$J264+$V264)</x:f>
      </x:c>
      <x:c r="X264" s="217" t="str">
        <x:f>IF($Y264="Ready","Review and inform supplier","")</x:f>
      </x:c>
      <x:c r="Y264" s="217" t="str">
        <x:f>IF(AND($B264="",$E264="",$I264=""),"",IF($B264="","Missing Assignment Number",IF($E264="","Select Job Title",IF($I264="","Enter Pay Rate",IF($S264="","Job Title not found","Ready")))))</x:f>
      </x:c>
    </x:row>
    <x:row r="265" ht="22" customHeight="1">
      <x:c r="A265" s="205"/>
      <x:c r="B265" s="205"/>
      <x:c r="C265" s="206"/>
      <x:c r="D265" s="205"/>
      <x:c r="E265" s="207"/>
      <x:c r="F265" s="208"/>
      <x:c r="G265" s="209" t="str">
        <x:f>IF($S265="","",IFERROR(VLOOKUP($S265,'Data'!$D$2:$G$14,3,FALSE),""))</x:f>
      </x:c>
      <x:c r="H265" s="210" t="str">
        <x:f>IF($G265="","",$G265/'Data'!$O$2/'Data'!$O$3)</x:f>
      </x:c>
      <x:c r="I265" s="211"/>
      <x:c r="J265" s="209" t="str">
        <x:f>IF(OR($E265="",$I265=""),"",$I265*'Data'!$O$2*'Data'!$O$3)</x:f>
      </x:c>
      <x:c r="K265" s="212" t="str">
        <x:f>IF(OR($J265="",$G265=""),"",$J265/$G265)</x:f>
      </x:c>
      <x:c r="L265" s="213" t="str">
        <x:f>IF($K265="","",VLOOKUP($K265,'Data'!$I$2:$L$6,3,TRUE))</x:f>
      </x:c>
      <x:c r="M265" s="210" t="str">
        <x:f>IF($L265="","",$I265*$L265)</x:f>
      </x:c>
      <x:c r="N265" s="214" t="str">
        <x:f>IF($M265="","",ROUNDDOWN($I265+$M265,2))</x:f>
      </x:c>
      <x:c r="O265" s="210" t="str">
        <x:f>IF($N265="","",ROUNDDOWN(ROUNDDOWN($N265,2)*$R265,3))</x:f>
      </x:c>
      <x:c r="P265" s="215"/>
      <x:c r="Q265" s="222" t="str">
        <x:f>IF($E265="","",IF(OR(RIGHT(UPPER(TRIM(SUBSTITUTE(CLEAN($E265),CHAR(160)," "))),2)="P1",RIGHT(UPPER(TRIM(SUBSTITUTE(CLEAN($E265),CHAR(160)," "))),2)="P2",RIGHT(UPPER(TRIM(SUBSTITUTE(CLEAN($E265),CHAR(160)," "))),2)="P3",RIGHT(UPPER(TRIM(SUBSTITUTE(CLEAN($E265),CHAR(160)," "))),2)="P4",ISNUMBER(SEARCH("INDUSTRIAL HYGIENIST 1 ENVIRONMENT",UPPER(TRIM(SUBSTITUTE(CLEAN($E265),CHAR(160)," ")))))),"PS","GS"))</x:f>
      </x:c>
      <x:c r="R265" s="223" t="str">
        <x:f>IF($Q265="","",IF($Q265="PS",'Data'!$O$5,'Data'!$O$4))</x:f>
      </x:c>
      <x:c r="S265" s="224" t="str">
        <x:f>IF($E265="","",IFERROR(VLOOKUP($E265,'Data'!$A$2:$B$114,2,FALSE),""))</x:f>
      </x:c>
      <x:c r="T265" s="217" t="str">
        <x:f>IF($K265="","",VLOOKUP($K265,'Data'!$I$2:$L$6,2,TRUE))</x:f>
      </x:c>
      <x:c r="U265" s="217"/>
      <x:c r="V265" s="221" t="str">
        <x:f>IF($L265="","",$J265*$L265)</x:f>
      </x:c>
      <x:c r="W265" s="221" t="str">
        <x:f>IF($V265="","",$J265+$V265)</x:f>
      </x:c>
      <x:c r="X265" s="217" t="str">
        <x:f>IF($Y265="Ready","Review and inform supplier","")</x:f>
      </x:c>
      <x:c r="Y265" s="217" t="str">
        <x:f>IF(AND($B265="",$E265="",$I265=""),"",IF($B265="","Missing Assignment Number",IF($E265="","Select Job Title",IF($I265="","Enter Pay Rate",IF($S265="","Job Title not found","Ready")))))</x:f>
      </x:c>
    </x:row>
    <x:row r="266" ht="22" customHeight="1">
      <x:c r="A266" s="205"/>
      <x:c r="B266" s="205"/>
      <x:c r="C266" s="206"/>
      <x:c r="D266" s="205"/>
      <x:c r="E266" s="207"/>
      <x:c r="F266" s="208"/>
      <x:c r="G266" s="209" t="str">
        <x:f>IF($S266="","",IFERROR(VLOOKUP($S266,'Data'!$D$2:$G$14,3,FALSE),""))</x:f>
      </x:c>
      <x:c r="H266" s="210" t="str">
        <x:f>IF($G266="","",$G266/'Data'!$O$2/'Data'!$O$3)</x:f>
      </x:c>
      <x:c r="I266" s="211"/>
      <x:c r="J266" s="209" t="str">
        <x:f>IF(OR($E266="",$I266=""),"",$I266*'Data'!$O$2*'Data'!$O$3)</x:f>
      </x:c>
      <x:c r="K266" s="212" t="str">
        <x:f>IF(OR($J266="",$G266=""),"",$J266/$G266)</x:f>
      </x:c>
      <x:c r="L266" s="213" t="str">
        <x:f>IF($K266="","",VLOOKUP($K266,'Data'!$I$2:$L$6,3,TRUE))</x:f>
      </x:c>
      <x:c r="M266" s="210" t="str">
        <x:f>IF($L266="","",$I266*$L266)</x:f>
      </x:c>
      <x:c r="N266" s="214" t="str">
        <x:f>IF($M266="","",ROUNDDOWN($I266+$M266,2))</x:f>
      </x:c>
      <x:c r="O266" s="210" t="str">
        <x:f>IF($N266="","",ROUNDDOWN(ROUNDDOWN($N266,2)*$R266,3))</x:f>
      </x:c>
      <x:c r="P266" s="215"/>
      <x:c r="Q266" s="222" t="str">
        <x:f>IF($E266="","",IF(OR(RIGHT(UPPER(TRIM(SUBSTITUTE(CLEAN($E266),CHAR(160)," "))),2)="P1",RIGHT(UPPER(TRIM(SUBSTITUTE(CLEAN($E266),CHAR(160)," "))),2)="P2",RIGHT(UPPER(TRIM(SUBSTITUTE(CLEAN($E266),CHAR(160)," "))),2)="P3",RIGHT(UPPER(TRIM(SUBSTITUTE(CLEAN($E266),CHAR(160)," "))),2)="P4",ISNUMBER(SEARCH("INDUSTRIAL HYGIENIST 1 ENVIRONMENT",UPPER(TRIM(SUBSTITUTE(CLEAN($E266),CHAR(160)," ")))))),"PS","GS"))</x:f>
      </x:c>
      <x:c r="R266" s="223" t="str">
        <x:f>IF($Q266="","",IF($Q266="PS",'Data'!$O$5,'Data'!$O$4))</x:f>
      </x:c>
      <x:c r="S266" s="224" t="str">
        <x:f>IF($E266="","",IFERROR(VLOOKUP($E266,'Data'!$A$2:$B$114,2,FALSE),""))</x:f>
      </x:c>
      <x:c r="T266" s="217" t="str">
        <x:f>IF($K266="","",VLOOKUP($K266,'Data'!$I$2:$L$6,2,TRUE))</x:f>
      </x:c>
      <x:c r="U266" s="217"/>
      <x:c r="V266" s="221" t="str">
        <x:f>IF($L266="","",$J266*$L266)</x:f>
      </x:c>
      <x:c r="W266" s="221" t="str">
        <x:f>IF($V266="","",$J266+$V266)</x:f>
      </x:c>
      <x:c r="X266" s="217" t="str">
        <x:f>IF($Y266="Ready","Review and inform supplier","")</x:f>
      </x:c>
      <x:c r="Y266" s="217" t="str">
        <x:f>IF(AND($B266="",$E266="",$I266=""),"",IF($B266="","Missing Assignment Number",IF($E266="","Select Job Title",IF($I266="","Enter Pay Rate",IF($S266="","Job Title not found","Ready")))))</x:f>
      </x:c>
    </x:row>
    <x:row r="267" ht="22" customHeight="1">
      <x:c r="A267" s="205"/>
      <x:c r="B267" s="205"/>
      <x:c r="C267" s="206"/>
      <x:c r="D267" s="205"/>
      <x:c r="E267" s="207"/>
      <x:c r="F267" s="208"/>
      <x:c r="G267" s="209" t="str">
        <x:f>IF($S267="","",IFERROR(VLOOKUP($S267,'Data'!$D$2:$G$14,3,FALSE),""))</x:f>
      </x:c>
      <x:c r="H267" s="210" t="str">
        <x:f>IF($G267="","",$G267/'Data'!$O$2/'Data'!$O$3)</x:f>
      </x:c>
      <x:c r="I267" s="211"/>
      <x:c r="J267" s="209" t="str">
        <x:f>IF(OR($E267="",$I267=""),"",$I267*'Data'!$O$2*'Data'!$O$3)</x:f>
      </x:c>
      <x:c r="K267" s="212" t="str">
        <x:f>IF(OR($J267="",$G267=""),"",$J267/$G267)</x:f>
      </x:c>
      <x:c r="L267" s="213" t="str">
        <x:f>IF($K267="","",VLOOKUP($K267,'Data'!$I$2:$L$6,3,TRUE))</x:f>
      </x:c>
      <x:c r="M267" s="210" t="str">
        <x:f>IF($L267="","",$I267*$L267)</x:f>
      </x:c>
      <x:c r="N267" s="214" t="str">
        <x:f>IF($M267="","",ROUNDDOWN($I267+$M267,2))</x:f>
      </x:c>
      <x:c r="O267" s="210" t="str">
        <x:f>IF($N267="","",ROUNDDOWN(ROUNDDOWN($N267,2)*$R267,3))</x:f>
      </x:c>
      <x:c r="P267" s="215"/>
      <x:c r="Q267" s="222" t="str">
        <x:f>IF($E267="","",IF(OR(RIGHT(UPPER(TRIM(SUBSTITUTE(CLEAN($E267),CHAR(160)," "))),2)="P1",RIGHT(UPPER(TRIM(SUBSTITUTE(CLEAN($E267),CHAR(160)," "))),2)="P2",RIGHT(UPPER(TRIM(SUBSTITUTE(CLEAN($E267),CHAR(160)," "))),2)="P3",RIGHT(UPPER(TRIM(SUBSTITUTE(CLEAN($E267),CHAR(160)," "))),2)="P4",ISNUMBER(SEARCH("INDUSTRIAL HYGIENIST 1 ENVIRONMENT",UPPER(TRIM(SUBSTITUTE(CLEAN($E267),CHAR(160)," ")))))),"PS","GS"))</x:f>
      </x:c>
      <x:c r="R267" s="223" t="str">
        <x:f>IF($Q267="","",IF($Q267="PS",'Data'!$O$5,'Data'!$O$4))</x:f>
      </x:c>
      <x:c r="S267" s="224" t="str">
        <x:f>IF($E267="","",IFERROR(VLOOKUP($E267,'Data'!$A$2:$B$114,2,FALSE),""))</x:f>
      </x:c>
      <x:c r="T267" s="217" t="str">
        <x:f>IF($K267="","",VLOOKUP($K267,'Data'!$I$2:$L$6,2,TRUE))</x:f>
      </x:c>
      <x:c r="U267" s="217"/>
      <x:c r="V267" s="221" t="str">
        <x:f>IF($L267="","",$J267*$L267)</x:f>
      </x:c>
      <x:c r="W267" s="221" t="str">
        <x:f>IF($V267="","",$J267+$V267)</x:f>
      </x:c>
      <x:c r="X267" s="217" t="str">
        <x:f>IF($Y267="Ready","Review and inform supplier","")</x:f>
      </x:c>
      <x:c r="Y267" s="217" t="str">
        <x:f>IF(AND($B267="",$E267="",$I267=""),"",IF($B267="","Missing Assignment Number",IF($E267="","Select Job Title",IF($I267="","Enter Pay Rate",IF($S267="","Job Title not found","Ready")))))</x:f>
      </x:c>
    </x:row>
    <x:row r="268" ht="22" customHeight="1">
      <x:c r="A268" s="205"/>
      <x:c r="B268" s="205"/>
      <x:c r="C268" s="206"/>
      <x:c r="D268" s="205"/>
      <x:c r="E268" s="207"/>
      <x:c r="F268" s="208"/>
      <x:c r="G268" s="209" t="str">
        <x:f>IF($S268="","",IFERROR(VLOOKUP($S268,'Data'!$D$2:$G$14,3,FALSE),""))</x:f>
      </x:c>
      <x:c r="H268" s="210" t="str">
        <x:f>IF($G268="","",$G268/'Data'!$O$2/'Data'!$O$3)</x:f>
      </x:c>
      <x:c r="I268" s="211"/>
      <x:c r="J268" s="209" t="str">
        <x:f>IF(OR($E268="",$I268=""),"",$I268*'Data'!$O$2*'Data'!$O$3)</x:f>
      </x:c>
      <x:c r="K268" s="212" t="str">
        <x:f>IF(OR($J268="",$G268=""),"",$J268/$G268)</x:f>
      </x:c>
      <x:c r="L268" s="213" t="str">
        <x:f>IF($K268="","",VLOOKUP($K268,'Data'!$I$2:$L$6,3,TRUE))</x:f>
      </x:c>
      <x:c r="M268" s="210" t="str">
        <x:f>IF($L268="","",$I268*$L268)</x:f>
      </x:c>
      <x:c r="N268" s="214" t="str">
        <x:f>IF($M268="","",ROUNDDOWN($I268+$M268,2))</x:f>
      </x:c>
      <x:c r="O268" s="210" t="str">
        <x:f>IF($N268="","",ROUNDDOWN(ROUNDDOWN($N268,2)*$R268,3))</x:f>
      </x:c>
      <x:c r="P268" s="215"/>
      <x:c r="Q268" s="222" t="str">
        <x:f>IF($E268="","",IF(OR(RIGHT(UPPER(TRIM(SUBSTITUTE(CLEAN($E268),CHAR(160)," "))),2)="P1",RIGHT(UPPER(TRIM(SUBSTITUTE(CLEAN($E268),CHAR(160)," "))),2)="P2",RIGHT(UPPER(TRIM(SUBSTITUTE(CLEAN($E268),CHAR(160)," "))),2)="P3",RIGHT(UPPER(TRIM(SUBSTITUTE(CLEAN($E268),CHAR(160)," "))),2)="P4",ISNUMBER(SEARCH("INDUSTRIAL HYGIENIST 1 ENVIRONMENT",UPPER(TRIM(SUBSTITUTE(CLEAN($E268),CHAR(160)," ")))))),"PS","GS"))</x:f>
      </x:c>
      <x:c r="R268" s="223" t="str">
        <x:f>IF($Q268="","",IF($Q268="PS",'Data'!$O$5,'Data'!$O$4))</x:f>
      </x:c>
      <x:c r="S268" s="224" t="str">
        <x:f>IF($E268="","",IFERROR(VLOOKUP($E268,'Data'!$A$2:$B$114,2,FALSE),""))</x:f>
      </x:c>
      <x:c r="T268" s="217" t="str">
        <x:f>IF($K268="","",VLOOKUP($K268,'Data'!$I$2:$L$6,2,TRUE))</x:f>
      </x:c>
      <x:c r="U268" s="217"/>
      <x:c r="V268" s="221" t="str">
        <x:f>IF($L268="","",$J268*$L268)</x:f>
      </x:c>
      <x:c r="W268" s="221" t="str">
        <x:f>IF($V268="","",$J268+$V268)</x:f>
      </x:c>
      <x:c r="X268" s="217" t="str">
        <x:f>IF($Y268="Ready","Review and inform supplier","")</x:f>
      </x:c>
      <x:c r="Y268" s="217" t="str">
        <x:f>IF(AND($B268="",$E268="",$I268=""),"",IF($B268="","Missing Assignment Number",IF($E268="","Select Job Title",IF($I268="","Enter Pay Rate",IF($S268="","Job Title not found","Ready")))))</x:f>
      </x:c>
    </x:row>
    <x:row r="269" ht="22" customHeight="1">
      <x:c r="A269" s="205"/>
      <x:c r="B269" s="205"/>
      <x:c r="C269" s="206"/>
      <x:c r="D269" s="205"/>
      <x:c r="E269" s="207"/>
      <x:c r="F269" s="208"/>
      <x:c r="G269" s="209" t="str">
        <x:f>IF($S269="","",IFERROR(VLOOKUP($S269,'Data'!$D$2:$G$14,3,FALSE),""))</x:f>
      </x:c>
      <x:c r="H269" s="210" t="str">
        <x:f>IF($G269="","",$G269/'Data'!$O$2/'Data'!$O$3)</x:f>
      </x:c>
      <x:c r="I269" s="211"/>
      <x:c r="J269" s="209" t="str">
        <x:f>IF(OR($E269="",$I269=""),"",$I269*'Data'!$O$2*'Data'!$O$3)</x:f>
      </x:c>
      <x:c r="K269" s="212" t="str">
        <x:f>IF(OR($J269="",$G269=""),"",$J269/$G269)</x:f>
      </x:c>
      <x:c r="L269" s="213" t="str">
        <x:f>IF($K269="","",VLOOKUP($K269,'Data'!$I$2:$L$6,3,TRUE))</x:f>
      </x:c>
      <x:c r="M269" s="210" t="str">
        <x:f>IF($L269="","",$I269*$L269)</x:f>
      </x:c>
      <x:c r="N269" s="214" t="str">
        <x:f>IF($M269="","",ROUNDDOWN($I269+$M269,2))</x:f>
      </x:c>
      <x:c r="O269" s="210" t="str">
        <x:f>IF($N269="","",ROUNDDOWN(ROUNDDOWN($N269,2)*$R269,3))</x:f>
      </x:c>
      <x:c r="P269" s="215"/>
      <x:c r="Q269" s="222" t="str">
        <x:f>IF($E269="","",IF(OR(RIGHT(UPPER(TRIM(SUBSTITUTE(CLEAN($E269),CHAR(160)," "))),2)="P1",RIGHT(UPPER(TRIM(SUBSTITUTE(CLEAN($E269),CHAR(160)," "))),2)="P2",RIGHT(UPPER(TRIM(SUBSTITUTE(CLEAN($E269),CHAR(160)," "))),2)="P3",RIGHT(UPPER(TRIM(SUBSTITUTE(CLEAN($E269),CHAR(160)," "))),2)="P4",ISNUMBER(SEARCH("INDUSTRIAL HYGIENIST 1 ENVIRONMENT",UPPER(TRIM(SUBSTITUTE(CLEAN($E269),CHAR(160)," ")))))),"PS","GS"))</x:f>
      </x:c>
      <x:c r="R269" s="223" t="str">
        <x:f>IF($Q269="","",IF($Q269="PS",'Data'!$O$5,'Data'!$O$4))</x:f>
      </x:c>
      <x:c r="S269" s="224" t="str">
        <x:f>IF($E269="","",IFERROR(VLOOKUP($E269,'Data'!$A$2:$B$114,2,FALSE),""))</x:f>
      </x:c>
      <x:c r="T269" s="217" t="str">
        <x:f>IF($K269="","",VLOOKUP($K269,'Data'!$I$2:$L$6,2,TRUE))</x:f>
      </x:c>
      <x:c r="U269" s="217"/>
      <x:c r="V269" s="221" t="str">
        <x:f>IF($L269="","",$J269*$L269)</x:f>
      </x:c>
      <x:c r="W269" s="221" t="str">
        <x:f>IF($V269="","",$J269+$V269)</x:f>
      </x:c>
      <x:c r="X269" s="217" t="str">
        <x:f>IF($Y269="Ready","Review and inform supplier","")</x:f>
      </x:c>
      <x:c r="Y269" s="217" t="str">
        <x:f>IF(AND($B269="",$E269="",$I269=""),"",IF($B269="","Missing Assignment Number",IF($E269="","Select Job Title",IF($I269="","Enter Pay Rate",IF($S269="","Job Title not found","Ready")))))</x:f>
      </x:c>
    </x:row>
    <x:row r="270" ht="22" customHeight="1">
      <x:c r="A270" s="205"/>
      <x:c r="B270" s="205"/>
      <x:c r="C270" s="206"/>
      <x:c r="D270" s="205"/>
      <x:c r="E270" s="207"/>
      <x:c r="F270" s="208"/>
      <x:c r="G270" s="209" t="str">
        <x:f>IF($S270="","",IFERROR(VLOOKUP($S270,'Data'!$D$2:$G$14,3,FALSE),""))</x:f>
      </x:c>
      <x:c r="H270" s="210" t="str">
        <x:f>IF($G270="","",$G270/'Data'!$O$2/'Data'!$O$3)</x:f>
      </x:c>
      <x:c r="I270" s="211"/>
      <x:c r="J270" s="209" t="str">
        <x:f>IF(OR($E270="",$I270=""),"",$I270*'Data'!$O$2*'Data'!$O$3)</x:f>
      </x:c>
      <x:c r="K270" s="212" t="str">
        <x:f>IF(OR($J270="",$G270=""),"",$J270/$G270)</x:f>
      </x:c>
      <x:c r="L270" s="213" t="str">
        <x:f>IF($K270="","",VLOOKUP($K270,'Data'!$I$2:$L$6,3,TRUE))</x:f>
      </x:c>
      <x:c r="M270" s="210" t="str">
        <x:f>IF($L270="","",$I270*$L270)</x:f>
      </x:c>
      <x:c r="N270" s="214" t="str">
        <x:f>IF($M270="","",ROUNDDOWN($I270+$M270,2))</x:f>
      </x:c>
      <x:c r="O270" s="210" t="str">
        <x:f>IF($N270="","",ROUNDDOWN(ROUNDDOWN($N270,2)*$R270,3))</x:f>
      </x:c>
      <x:c r="P270" s="215"/>
      <x:c r="Q270" s="222" t="str">
        <x:f>IF($E270="","",IF(OR(RIGHT(UPPER(TRIM(SUBSTITUTE(CLEAN($E270),CHAR(160)," "))),2)="P1",RIGHT(UPPER(TRIM(SUBSTITUTE(CLEAN($E270),CHAR(160)," "))),2)="P2",RIGHT(UPPER(TRIM(SUBSTITUTE(CLEAN($E270),CHAR(160)," "))),2)="P3",RIGHT(UPPER(TRIM(SUBSTITUTE(CLEAN($E270),CHAR(160)," "))),2)="P4",ISNUMBER(SEARCH("INDUSTRIAL HYGIENIST 1 ENVIRONMENT",UPPER(TRIM(SUBSTITUTE(CLEAN($E270),CHAR(160)," ")))))),"PS","GS"))</x:f>
      </x:c>
      <x:c r="R270" s="223" t="str">
        <x:f>IF($Q270="","",IF($Q270="PS",'Data'!$O$5,'Data'!$O$4))</x:f>
      </x:c>
      <x:c r="S270" s="224" t="str">
        <x:f>IF($E270="","",IFERROR(VLOOKUP($E270,'Data'!$A$2:$B$114,2,FALSE),""))</x:f>
      </x:c>
      <x:c r="T270" s="217" t="str">
        <x:f>IF($K270="","",VLOOKUP($K270,'Data'!$I$2:$L$6,2,TRUE))</x:f>
      </x:c>
      <x:c r="U270" s="217"/>
      <x:c r="V270" s="221" t="str">
        <x:f>IF($L270="","",$J270*$L270)</x:f>
      </x:c>
      <x:c r="W270" s="221" t="str">
        <x:f>IF($V270="","",$J270+$V270)</x:f>
      </x:c>
      <x:c r="X270" s="217" t="str">
        <x:f>IF($Y270="Ready","Review and inform supplier","")</x:f>
      </x:c>
      <x:c r="Y270" s="217" t="str">
        <x:f>IF(AND($B270="",$E270="",$I270=""),"",IF($B270="","Missing Assignment Number",IF($E270="","Select Job Title",IF($I270="","Enter Pay Rate",IF($S270="","Job Title not found","Ready")))))</x:f>
      </x:c>
    </x:row>
    <x:row r="271" ht="22" customHeight="1">
      <x:c r="A271" s="205"/>
      <x:c r="B271" s="205"/>
      <x:c r="C271" s="206"/>
      <x:c r="D271" s="205"/>
      <x:c r="E271" s="207"/>
      <x:c r="F271" s="208"/>
      <x:c r="G271" s="209" t="str">
        <x:f>IF($S271="","",IFERROR(VLOOKUP($S271,'Data'!$D$2:$G$14,3,FALSE),""))</x:f>
      </x:c>
      <x:c r="H271" s="210" t="str">
        <x:f>IF($G271="","",$G271/'Data'!$O$2/'Data'!$O$3)</x:f>
      </x:c>
      <x:c r="I271" s="211"/>
      <x:c r="J271" s="209" t="str">
        <x:f>IF(OR($E271="",$I271=""),"",$I271*'Data'!$O$2*'Data'!$O$3)</x:f>
      </x:c>
      <x:c r="K271" s="212" t="str">
        <x:f>IF(OR($J271="",$G271=""),"",$J271/$G271)</x:f>
      </x:c>
      <x:c r="L271" s="213" t="str">
        <x:f>IF($K271="","",VLOOKUP($K271,'Data'!$I$2:$L$6,3,TRUE))</x:f>
      </x:c>
      <x:c r="M271" s="210" t="str">
        <x:f>IF($L271="","",$I271*$L271)</x:f>
      </x:c>
      <x:c r="N271" s="214" t="str">
        <x:f>IF($M271="","",ROUNDDOWN($I271+$M271,2))</x:f>
      </x:c>
      <x:c r="O271" s="210" t="str">
        <x:f>IF($N271="","",ROUNDDOWN(ROUNDDOWN($N271,2)*$R271,3))</x:f>
      </x:c>
      <x:c r="P271" s="215"/>
      <x:c r="Q271" s="222" t="str">
        <x:f>IF($E271="","",IF(OR(RIGHT(UPPER(TRIM(SUBSTITUTE(CLEAN($E271),CHAR(160)," "))),2)="P1",RIGHT(UPPER(TRIM(SUBSTITUTE(CLEAN($E271),CHAR(160)," "))),2)="P2",RIGHT(UPPER(TRIM(SUBSTITUTE(CLEAN($E271),CHAR(160)," "))),2)="P3",RIGHT(UPPER(TRIM(SUBSTITUTE(CLEAN($E271),CHAR(160)," "))),2)="P4",ISNUMBER(SEARCH("INDUSTRIAL HYGIENIST 1 ENVIRONMENT",UPPER(TRIM(SUBSTITUTE(CLEAN($E271),CHAR(160)," ")))))),"PS","GS"))</x:f>
      </x:c>
      <x:c r="R271" s="223" t="str">
        <x:f>IF($Q271="","",IF($Q271="PS",'Data'!$O$5,'Data'!$O$4))</x:f>
      </x:c>
      <x:c r="S271" s="224" t="str">
        <x:f>IF($E271="","",IFERROR(VLOOKUP($E271,'Data'!$A$2:$B$114,2,FALSE),""))</x:f>
      </x:c>
      <x:c r="T271" s="217" t="str">
        <x:f>IF($K271="","",VLOOKUP($K271,'Data'!$I$2:$L$6,2,TRUE))</x:f>
      </x:c>
      <x:c r="U271" s="217"/>
      <x:c r="V271" s="221" t="str">
        <x:f>IF($L271="","",$J271*$L271)</x:f>
      </x:c>
      <x:c r="W271" s="221" t="str">
        <x:f>IF($V271="","",$J271+$V271)</x:f>
      </x:c>
      <x:c r="X271" s="217" t="str">
        <x:f>IF($Y271="Ready","Review and inform supplier","")</x:f>
      </x:c>
      <x:c r="Y271" s="217" t="str">
        <x:f>IF(AND($B271="",$E271="",$I271=""),"",IF($B271="","Missing Assignment Number",IF($E271="","Select Job Title",IF($I271="","Enter Pay Rate",IF($S271="","Job Title not found","Ready")))))</x:f>
      </x:c>
    </x:row>
    <x:row r="272" ht="22" customHeight="1">
      <x:c r="A272" s="205"/>
      <x:c r="B272" s="205"/>
      <x:c r="C272" s="206"/>
      <x:c r="D272" s="205"/>
      <x:c r="E272" s="207"/>
      <x:c r="F272" s="208"/>
      <x:c r="G272" s="209" t="str">
        <x:f>IF($S272="","",IFERROR(VLOOKUP($S272,'Data'!$D$2:$G$14,3,FALSE),""))</x:f>
      </x:c>
      <x:c r="H272" s="210" t="str">
        <x:f>IF($G272="","",$G272/'Data'!$O$2/'Data'!$O$3)</x:f>
      </x:c>
      <x:c r="I272" s="211"/>
      <x:c r="J272" s="209" t="str">
        <x:f>IF(OR($E272="",$I272=""),"",$I272*'Data'!$O$2*'Data'!$O$3)</x:f>
      </x:c>
      <x:c r="K272" s="212" t="str">
        <x:f>IF(OR($J272="",$G272=""),"",$J272/$G272)</x:f>
      </x:c>
      <x:c r="L272" s="213" t="str">
        <x:f>IF($K272="","",VLOOKUP($K272,'Data'!$I$2:$L$6,3,TRUE))</x:f>
      </x:c>
      <x:c r="M272" s="210" t="str">
        <x:f>IF($L272="","",$I272*$L272)</x:f>
      </x:c>
      <x:c r="N272" s="214" t="str">
        <x:f>IF($M272="","",ROUNDDOWN($I272+$M272,2))</x:f>
      </x:c>
      <x:c r="O272" s="210" t="str">
        <x:f>IF($N272="","",ROUNDDOWN(ROUNDDOWN($N272,2)*$R272,3))</x:f>
      </x:c>
      <x:c r="P272" s="215"/>
      <x:c r="Q272" s="222" t="str">
        <x:f>IF($E272="","",IF(OR(RIGHT(UPPER(TRIM(SUBSTITUTE(CLEAN($E272),CHAR(160)," "))),2)="P1",RIGHT(UPPER(TRIM(SUBSTITUTE(CLEAN($E272),CHAR(160)," "))),2)="P2",RIGHT(UPPER(TRIM(SUBSTITUTE(CLEAN($E272),CHAR(160)," "))),2)="P3",RIGHT(UPPER(TRIM(SUBSTITUTE(CLEAN($E272),CHAR(160)," "))),2)="P4",ISNUMBER(SEARCH("INDUSTRIAL HYGIENIST 1 ENVIRONMENT",UPPER(TRIM(SUBSTITUTE(CLEAN($E272),CHAR(160)," ")))))),"PS","GS"))</x:f>
      </x:c>
      <x:c r="R272" s="223" t="str">
        <x:f>IF($Q272="","",IF($Q272="PS",'Data'!$O$5,'Data'!$O$4))</x:f>
      </x:c>
      <x:c r="S272" s="224" t="str">
        <x:f>IF($E272="","",IFERROR(VLOOKUP($E272,'Data'!$A$2:$B$114,2,FALSE),""))</x:f>
      </x:c>
      <x:c r="T272" s="217" t="str">
        <x:f>IF($K272="","",VLOOKUP($K272,'Data'!$I$2:$L$6,2,TRUE))</x:f>
      </x:c>
      <x:c r="U272" s="217"/>
      <x:c r="V272" s="221" t="str">
        <x:f>IF($L272="","",$J272*$L272)</x:f>
      </x:c>
      <x:c r="W272" s="221" t="str">
        <x:f>IF($V272="","",$J272+$V272)</x:f>
      </x:c>
      <x:c r="X272" s="217" t="str">
        <x:f>IF($Y272="Ready","Review and inform supplier","")</x:f>
      </x:c>
      <x:c r="Y272" s="217" t="str">
        <x:f>IF(AND($B272="",$E272="",$I272=""),"",IF($B272="","Missing Assignment Number",IF($E272="","Select Job Title",IF($I272="","Enter Pay Rate",IF($S272="","Job Title not found","Ready")))))</x:f>
      </x:c>
    </x:row>
    <x:row r="273" ht="22" customHeight="1">
      <x:c r="A273" s="205"/>
      <x:c r="B273" s="205"/>
      <x:c r="C273" s="206"/>
      <x:c r="D273" s="205"/>
      <x:c r="E273" s="207"/>
      <x:c r="F273" s="208"/>
      <x:c r="G273" s="209" t="str">
        <x:f>IF($S273="","",IFERROR(VLOOKUP($S273,'Data'!$D$2:$G$14,3,FALSE),""))</x:f>
      </x:c>
      <x:c r="H273" s="210" t="str">
        <x:f>IF($G273="","",$G273/'Data'!$O$2/'Data'!$O$3)</x:f>
      </x:c>
      <x:c r="I273" s="211"/>
      <x:c r="J273" s="209" t="str">
        <x:f>IF(OR($E273="",$I273=""),"",$I273*'Data'!$O$2*'Data'!$O$3)</x:f>
      </x:c>
      <x:c r="K273" s="212" t="str">
        <x:f>IF(OR($J273="",$G273=""),"",$J273/$G273)</x:f>
      </x:c>
      <x:c r="L273" s="213" t="str">
        <x:f>IF($K273="","",VLOOKUP($K273,'Data'!$I$2:$L$6,3,TRUE))</x:f>
      </x:c>
      <x:c r="M273" s="210" t="str">
        <x:f>IF($L273="","",$I273*$L273)</x:f>
      </x:c>
      <x:c r="N273" s="214" t="str">
        <x:f>IF($M273="","",ROUNDDOWN($I273+$M273,2))</x:f>
      </x:c>
      <x:c r="O273" s="210" t="str">
        <x:f>IF($N273="","",ROUNDDOWN(ROUNDDOWN($N273,2)*$R273,3))</x:f>
      </x:c>
      <x:c r="P273" s="215"/>
      <x:c r="Q273" s="222" t="str">
        <x:f>IF($E273="","",IF(OR(RIGHT(UPPER(TRIM(SUBSTITUTE(CLEAN($E273),CHAR(160)," "))),2)="P1",RIGHT(UPPER(TRIM(SUBSTITUTE(CLEAN($E273),CHAR(160)," "))),2)="P2",RIGHT(UPPER(TRIM(SUBSTITUTE(CLEAN($E273),CHAR(160)," "))),2)="P3",RIGHT(UPPER(TRIM(SUBSTITUTE(CLEAN($E273),CHAR(160)," "))),2)="P4",ISNUMBER(SEARCH("INDUSTRIAL HYGIENIST 1 ENVIRONMENT",UPPER(TRIM(SUBSTITUTE(CLEAN($E273),CHAR(160)," ")))))),"PS","GS"))</x:f>
      </x:c>
      <x:c r="R273" s="223" t="str">
        <x:f>IF($Q273="","",IF($Q273="PS",'Data'!$O$5,'Data'!$O$4))</x:f>
      </x:c>
      <x:c r="S273" s="224" t="str">
        <x:f>IF($E273="","",IFERROR(VLOOKUP($E273,'Data'!$A$2:$B$114,2,FALSE),""))</x:f>
      </x:c>
      <x:c r="T273" s="217" t="str">
        <x:f>IF($K273="","",VLOOKUP($K273,'Data'!$I$2:$L$6,2,TRUE))</x:f>
      </x:c>
      <x:c r="U273" s="217"/>
      <x:c r="V273" s="221" t="str">
        <x:f>IF($L273="","",$J273*$L273)</x:f>
      </x:c>
      <x:c r="W273" s="221" t="str">
        <x:f>IF($V273="","",$J273+$V273)</x:f>
      </x:c>
      <x:c r="X273" s="217" t="str">
        <x:f>IF($Y273="Ready","Review and inform supplier","")</x:f>
      </x:c>
      <x:c r="Y273" s="217" t="str">
        <x:f>IF(AND($B273="",$E273="",$I273=""),"",IF($B273="","Missing Assignment Number",IF($E273="","Select Job Title",IF($I273="","Enter Pay Rate",IF($S273="","Job Title not found","Ready")))))</x:f>
      </x:c>
    </x:row>
    <x:row r="274" ht="22" customHeight="1">
      <x:c r="A274" s="205"/>
      <x:c r="B274" s="205"/>
      <x:c r="C274" s="206"/>
      <x:c r="D274" s="205"/>
      <x:c r="E274" s="207"/>
      <x:c r="F274" s="208"/>
      <x:c r="G274" s="209" t="str">
        <x:f>IF($S274="","",IFERROR(VLOOKUP($S274,'Data'!$D$2:$G$14,3,FALSE),""))</x:f>
      </x:c>
      <x:c r="H274" s="210" t="str">
        <x:f>IF($G274="","",$G274/'Data'!$O$2/'Data'!$O$3)</x:f>
      </x:c>
      <x:c r="I274" s="211"/>
      <x:c r="J274" s="209" t="str">
        <x:f>IF(OR($E274="",$I274=""),"",$I274*'Data'!$O$2*'Data'!$O$3)</x:f>
      </x:c>
      <x:c r="K274" s="212" t="str">
        <x:f>IF(OR($J274="",$G274=""),"",$J274/$G274)</x:f>
      </x:c>
      <x:c r="L274" s="213" t="str">
        <x:f>IF($K274="","",VLOOKUP($K274,'Data'!$I$2:$L$6,3,TRUE))</x:f>
      </x:c>
      <x:c r="M274" s="210" t="str">
        <x:f>IF($L274="","",$I274*$L274)</x:f>
      </x:c>
      <x:c r="N274" s="214" t="str">
        <x:f>IF($M274="","",ROUNDDOWN($I274+$M274,2))</x:f>
      </x:c>
      <x:c r="O274" s="210" t="str">
        <x:f>IF($N274="","",ROUNDDOWN(ROUNDDOWN($N274,2)*$R274,3))</x:f>
      </x:c>
      <x:c r="P274" s="215"/>
      <x:c r="Q274" s="222" t="str">
        <x:f>IF($E274="","",IF(OR(RIGHT(UPPER(TRIM(SUBSTITUTE(CLEAN($E274),CHAR(160)," "))),2)="P1",RIGHT(UPPER(TRIM(SUBSTITUTE(CLEAN($E274),CHAR(160)," "))),2)="P2",RIGHT(UPPER(TRIM(SUBSTITUTE(CLEAN($E274),CHAR(160)," "))),2)="P3",RIGHT(UPPER(TRIM(SUBSTITUTE(CLEAN($E274),CHAR(160)," "))),2)="P4",ISNUMBER(SEARCH("INDUSTRIAL HYGIENIST 1 ENVIRONMENT",UPPER(TRIM(SUBSTITUTE(CLEAN($E274),CHAR(160)," ")))))),"PS","GS"))</x:f>
      </x:c>
      <x:c r="R274" s="223" t="str">
        <x:f>IF($Q274="","",IF($Q274="PS",'Data'!$O$5,'Data'!$O$4))</x:f>
      </x:c>
      <x:c r="S274" s="224" t="str">
        <x:f>IF($E274="","",IFERROR(VLOOKUP($E274,'Data'!$A$2:$B$114,2,FALSE),""))</x:f>
      </x:c>
      <x:c r="T274" s="217" t="str">
        <x:f>IF($K274="","",VLOOKUP($K274,'Data'!$I$2:$L$6,2,TRUE))</x:f>
      </x:c>
      <x:c r="U274" s="217"/>
      <x:c r="V274" s="221" t="str">
        <x:f>IF($L274="","",$J274*$L274)</x:f>
      </x:c>
      <x:c r="W274" s="221" t="str">
        <x:f>IF($V274="","",$J274+$V274)</x:f>
      </x:c>
      <x:c r="X274" s="217" t="str">
        <x:f>IF($Y274="Ready","Review and inform supplier","")</x:f>
      </x:c>
      <x:c r="Y274" s="217" t="str">
        <x:f>IF(AND($B274="",$E274="",$I274=""),"",IF($B274="","Missing Assignment Number",IF($E274="","Select Job Title",IF($I274="","Enter Pay Rate",IF($S274="","Job Title not found","Ready")))))</x:f>
      </x:c>
    </x:row>
    <x:row r="275" ht="22" customHeight="1">
      <x:c r="A275" s="205"/>
      <x:c r="B275" s="205"/>
      <x:c r="C275" s="206"/>
      <x:c r="D275" s="205"/>
      <x:c r="E275" s="207"/>
      <x:c r="F275" s="208"/>
      <x:c r="G275" s="209" t="str">
        <x:f>IF($S275="","",IFERROR(VLOOKUP($S275,'Data'!$D$2:$G$14,3,FALSE),""))</x:f>
      </x:c>
      <x:c r="H275" s="210" t="str">
        <x:f>IF($G275="","",$G275/'Data'!$O$2/'Data'!$O$3)</x:f>
      </x:c>
      <x:c r="I275" s="211"/>
      <x:c r="J275" s="209" t="str">
        <x:f>IF(OR($E275="",$I275=""),"",$I275*'Data'!$O$2*'Data'!$O$3)</x:f>
      </x:c>
      <x:c r="K275" s="212" t="str">
        <x:f>IF(OR($J275="",$G275=""),"",$J275/$G275)</x:f>
      </x:c>
      <x:c r="L275" s="213" t="str">
        <x:f>IF($K275="","",VLOOKUP($K275,'Data'!$I$2:$L$6,3,TRUE))</x:f>
      </x:c>
      <x:c r="M275" s="210" t="str">
        <x:f>IF($L275="","",$I275*$L275)</x:f>
      </x:c>
      <x:c r="N275" s="214" t="str">
        <x:f>IF($M275="","",ROUNDDOWN($I275+$M275,2))</x:f>
      </x:c>
      <x:c r="O275" s="210" t="str">
        <x:f>IF($N275="","",ROUNDDOWN(ROUNDDOWN($N275,2)*$R275,3))</x:f>
      </x:c>
      <x:c r="P275" s="215"/>
      <x:c r="Q275" s="222" t="str">
        <x:f>IF($E275="","",IF(OR(RIGHT(UPPER(TRIM(SUBSTITUTE(CLEAN($E275),CHAR(160)," "))),2)="P1",RIGHT(UPPER(TRIM(SUBSTITUTE(CLEAN($E275),CHAR(160)," "))),2)="P2",RIGHT(UPPER(TRIM(SUBSTITUTE(CLEAN($E275),CHAR(160)," "))),2)="P3",RIGHT(UPPER(TRIM(SUBSTITUTE(CLEAN($E275),CHAR(160)," "))),2)="P4",ISNUMBER(SEARCH("INDUSTRIAL HYGIENIST 1 ENVIRONMENT",UPPER(TRIM(SUBSTITUTE(CLEAN($E275),CHAR(160)," ")))))),"PS","GS"))</x:f>
      </x:c>
      <x:c r="R275" s="223" t="str">
        <x:f>IF($Q275="","",IF($Q275="PS",'Data'!$O$5,'Data'!$O$4))</x:f>
      </x:c>
      <x:c r="S275" s="224" t="str">
        <x:f>IF($E275="","",IFERROR(VLOOKUP($E275,'Data'!$A$2:$B$114,2,FALSE),""))</x:f>
      </x:c>
      <x:c r="T275" s="217" t="str">
        <x:f>IF($K275="","",VLOOKUP($K275,'Data'!$I$2:$L$6,2,TRUE))</x:f>
      </x:c>
      <x:c r="U275" s="217"/>
      <x:c r="V275" s="221" t="str">
        <x:f>IF($L275="","",$J275*$L275)</x:f>
      </x:c>
      <x:c r="W275" s="221" t="str">
        <x:f>IF($V275="","",$J275+$V275)</x:f>
      </x:c>
      <x:c r="X275" s="217" t="str">
        <x:f>IF($Y275="Ready","Review and inform supplier","")</x:f>
      </x:c>
      <x:c r="Y275" s="217" t="str">
        <x:f>IF(AND($B275="",$E275="",$I275=""),"",IF($B275="","Missing Assignment Number",IF($E275="","Select Job Title",IF($I275="","Enter Pay Rate",IF($S275="","Job Title not found","Ready")))))</x:f>
      </x:c>
    </x:row>
    <x:row r="276" ht="22" customHeight="1">
      <x:c r="A276" s="205"/>
      <x:c r="B276" s="205"/>
      <x:c r="C276" s="206"/>
      <x:c r="D276" s="205"/>
      <x:c r="E276" s="207"/>
      <x:c r="F276" s="208"/>
      <x:c r="G276" s="209" t="str">
        <x:f>IF($S276="","",IFERROR(VLOOKUP($S276,'Data'!$D$2:$G$14,3,FALSE),""))</x:f>
      </x:c>
      <x:c r="H276" s="210" t="str">
        <x:f>IF($G276="","",$G276/'Data'!$O$2/'Data'!$O$3)</x:f>
      </x:c>
      <x:c r="I276" s="211"/>
      <x:c r="J276" s="209" t="str">
        <x:f>IF(OR($E276="",$I276=""),"",$I276*'Data'!$O$2*'Data'!$O$3)</x:f>
      </x:c>
      <x:c r="K276" s="212" t="str">
        <x:f>IF(OR($J276="",$G276=""),"",$J276/$G276)</x:f>
      </x:c>
      <x:c r="L276" s="213" t="str">
        <x:f>IF($K276="","",VLOOKUP($K276,'Data'!$I$2:$L$6,3,TRUE))</x:f>
      </x:c>
      <x:c r="M276" s="210" t="str">
        <x:f>IF($L276="","",$I276*$L276)</x:f>
      </x:c>
      <x:c r="N276" s="214" t="str">
        <x:f>IF($M276="","",ROUNDDOWN($I276+$M276,2))</x:f>
      </x:c>
      <x:c r="O276" s="210" t="str">
        <x:f>IF($N276="","",ROUNDDOWN(ROUNDDOWN($N276,2)*$R276,3))</x:f>
      </x:c>
      <x:c r="P276" s="215"/>
      <x:c r="Q276" s="222" t="str">
        <x:f>IF($E276="","",IF(OR(RIGHT(UPPER(TRIM(SUBSTITUTE(CLEAN($E276),CHAR(160)," "))),2)="P1",RIGHT(UPPER(TRIM(SUBSTITUTE(CLEAN($E276),CHAR(160)," "))),2)="P2",RIGHT(UPPER(TRIM(SUBSTITUTE(CLEAN($E276),CHAR(160)," "))),2)="P3",RIGHT(UPPER(TRIM(SUBSTITUTE(CLEAN($E276),CHAR(160)," "))),2)="P4",ISNUMBER(SEARCH("INDUSTRIAL HYGIENIST 1 ENVIRONMENT",UPPER(TRIM(SUBSTITUTE(CLEAN($E276),CHAR(160)," ")))))),"PS","GS"))</x:f>
      </x:c>
      <x:c r="R276" s="223" t="str">
        <x:f>IF($Q276="","",IF($Q276="PS",'Data'!$O$5,'Data'!$O$4))</x:f>
      </x:c>
      <x:c r="S276" s="224" t="str">
        <x:f>IF($E276="","",IFERROR(VLOOKUP($E276,'Data'!$A$2:$B$114,2,FALSE),""))</x:f>
      </x:c>
      <x:c r="T276" s="217" t="str">
        <x:f>IF($K276="","",VLOOKUP($K276,'Data'!$I$2:$L$6,2,TRUE))</x:f>
      </x:c>
      <x:c r="U276" s="217"/>
      <x:c r="V276" s="221" t="str">
        <x:f>IF($L276="","",$J276*$L276)</x:f>
      </x:c>
      <x:c r="W276" s="221" t="str">
        <x:f>IF($V276="","",$J276+$V276)</x:f>
      </x:c>
      <x:c r="X276" s="217" t="str">
        <x:f>IF($Y276="Ready","Review and inform supplier","")</x:f>
      </x:c>
      <x:c r="Y276" s="217" t="str">
        <x:f>IF(AND($B276="",$E276="",$I276=""),"",IF($B276="","Missing Assignment Number",IF($E276="","Select Job Title",IF($I276="","Enter Pay Rate",IF($S276="","Job Title not found","Ready")))))</x:f>
      </x:c>
    </x:row>
    <x:row r="277" ht="22" customHeight="1">
      <x:c r="A277" s="205"/>
      <x:c r="B277" s="205"/>
      <x:c r="C277" s="206"/>
      <x:c r="D277" s="205"/>
      <x:c r="E277" s="207"/>
      <x:c r="F277" s="208"/>
      <x:c r="G277" s="209" t="str">
        <x:f>IF($S277="","",IFERROR(VLOOKUP($S277,'Data'!$D$2:$G$14,3,FALSE),""))</x:f>
      </x:c>
      <x:c r="H277" s="210" t="str">
        <x:f>IF($G277="","",$G277/'Data'!$O$2/'Data'!$O$3)</x:f>
      </x:c>
      <x:c r="I277" s="211"/>
      <x:c r="J277" s="209" t="str">
        <x:f>IF(OR($E277="",$I277=""),"",$I277*'Data'!$O$2*'Data'!$O$3)</x:f>
      </x:c>
      <x:c r="K277" s="212" t="str">
        <x:f>IF(OR($J277="",$G277=""),"",$J277/$G277)</x:f>
      </x:c>
      <x:c r="L277" s="213" t="str">
        <x:f>IF($K277="","",VLOOKUP($K277,'Data'!$I$2:$L$6,3,TRUE))</x:f>
      </x:c>
      <x:c r="M277" s="210" t="str">
        <x:f>IF($L277="","",$I277*$L277)</x:f>
      </x:c>
      <x:c r="N277" s="214" t="str">
        <x:f>IF($M277="","",ROUNDDOWN($I277+$M277,2))</x:f>
      </x:c>
      <x:c r="O277" s="210" t="str">
        <x:f>IF($N277="","",ROUNDDOWN(ROUNDDOWN($N277,2)*$R277,3))</x:f>
      </x:c>
      <x:c r="P277" s="215"/>
      <x:c r="Q277" s="222" t="str">
        <x:f>IF($E277="","",IF(OR(RIGHT(UPPER(TRIM(SUBSTITUTE(CLEAN($E277),CHAR(160)," "))),2)="P1",RIGHT(UPPER(TRIM(SUBSTITUTE(CLEAN($E277),CHAR(160)," "))),2)="P2",RIGHT(UPPER(TRIM(SUBSTITUTE(CLEAN($E277),CHAR(160)," "))),2)="P3",RIGHT(UPPER(TRIM(SUBSTITUTE(CLEAN($E277),CHAR(160)," "))),2)="P4",ISNUMBER(SEARCH("INDUSTRIAL HYGIENIST 1 ENVIRONMENT",UPPER(TRIM(SUBSTITUTE(CLEAN($E277),CHAR(160)," ")))))),"PS","GS"))</x:f>
      </x:c>
      <x:c r="R277" s="223" t="str">
        <x:f>IF($Q277="","",IF($Q277="PS",'Data'!$O$5,'Data'!$O$4))</x:f>
      </x:c>
      <x:c r="S277" s="224" t="str">
        <x:f>IF($E277="","",IFERROR(VLOOKUP($E277,'Data'!$A$2:$B$114,2,FALSE),""))</x:f>
      </x:c>
      <x:c r="T277" s="217" t="str">
        <x:f>IF($K277="","",VLOOKUP($K277,'Data'!$I$2:$L$6,2,TRUE))</x:f>
      </x:c>
      <x:c r="U277" s="217"/>
      <x:c r="V277" s="221" t="str">
        <x:f>IF($L277="","",$J277*$L277)</x:f>
      </x:c>
      <x:c r="W277" s="221" t="str">
        <x:f>IF($V277="","",$J277+$V277)</x:f>
      </x:c>
      <x:c r="X277" s="217" t="str">
        <x:f>IF($Y277="Ready","Review and inform supplier","")</x:f>
      </x:c>
      <x:c r="Y277" s="217" t="str">
        <x:f>IF(AND($B277="",$E277="",$I277=""),"",IF($B277="","Missing Assignment Number",IF($E277="","Select Job Title",IF($I277="","Enter Pay Rate",IF($S277="","Job Title not found","Ready")))))</x:f>
      </x:c>
    </x:row>
    <x:row r="278" ht="22" customHeight="1">
      <x:c r="A278" s="205"/>
      <x:c r="B278" s="205"/>
      <x:c r="C278" s="206"/>
      <x:c r="D278" s="205"/>
      <x:c r="E278" s="207"/>
      <x:c r="F278" s="208"/>
      <x:c r="G278" s="209" t="str">
        <x:f>IF($S278="","",IFERROR(VLOOKUP($S278,'Data'!$D$2:$G$14,3,FALSE),""))</x:f>
      </x:c>
      <x:c r="H278" s="210" t="str">
        <x:f>IF($G278="","",$G278/'Data'!$O$2/'Data'!$O$3)</x:f>
      </x:c>
      <x:c r="I278" s="211"/>
      <x:c r="J278" s="209" t="str">
        <x:f>IF(OR($E278="",$I278=""),"",$I278*'Data'!$O$2*'Data'!$O$3)</x:f>
      </x:c>
      <x:c r="K278" s="212" t="str">
        <x:f>IF(OR($J278="",$G278=""),"",$J278/$G278)</x:f>
      </x:c>
      <x:c r="L278" s="213" t="str">
        <x:f>IF($K278="","",VLOOKUP($K278,'Data'!$I$2:$L$6,3,TRUE))</x:f>
      </x:c>
      <x:c r="M278" s="210" t="str">
        <x:f>IF($L278="","",$I278*$L278)</x:f>
      </x:c>
      <x:c r="N278" s="214" t="str">
        <x:f>IF($M278="","",ROUNDDOWN($I278+$M278,2))</x:f>
      </x:c>
      <x:c r="O278" s="210" t="str">
        <x:f>IF($N278="","",ROUNDDOWN(ROUNDDOWN($N278,2)*$R278,3))</x:f>
      </x:c>
      <x:c r="P278" s="215"/>
      <x:c r="Q278" s="222" t="str">
        <x:f>IF($E278="","",IF(OR(RIGHT(UPPER(TRIM(SUBSTITUTE(CLEAN($E278),CHAR(160)," "))),2)="P1",RIGHT(UPPER(TRIM(SUBSTITUTE(CLEAN($E278),CHAR(160)," "))),2)="P2",RIGHT(UPPER(TRIM(SUBSTITUTE(CLEAN($E278),CHAR(160)," "))),2)="P3",RIGHT(UPPER(TRIM(SUBSTITUTE(CLEAN($E278),CHAR(160)," "))),2)="P4",ISNUMBER(SEARCH("INDUSTRIAL HYGIENIST 1 ENVIRONMENT",UPPER(TRIM(SUBSTITUTE(CLEAN($E278),CHAR(160)," ")))))),"PS","GS"))</x:f>
      </x:c>
      <x:c r="R278" s="223" t="str">
        <x:f>IF($Q278="","",IF($Q278="PS",'Data'!$O$5,'Data'!$O$4))</x:f>
      </x:c>
      <x:c r="S278" s="224" t="str">
        <x:f>IF($E278="","",IFERROR(VLOOKUP($E278,'Data'!$A$2:$B$114,2,FALSE),""))</x:f>
      </x:c>
      <x:c r="T278" s="217" t="str">
        <x:f>IF($K278="","",VLOOKUP($K278,'Data'!$I$2:$L$6,2,TRUE))</x:f>
      </x:c>
      <x:c r="U278" s="217"/>
      <x:c r="V278" s="221" t="str">
        <x:f>IF($L278="","",$J278*$L278)</x:f>
      </x:c>
      <x:c r="W278" s="221" t="str">
        <x:f>IF($V278="","",$J278+$V278)</x:f>
      </x:c>
      <x:c r="X278" s="217" t="str">
        <x:f>IF($Y278="Ready","Review and inform supplier","")</x:f>
      </x:c>
      <x:c r="Y278" s="217" t="str">
        <x:f>IF(AND($B278="",$E278="",$I278=""),"",IF($B278="","Missing Assignment Number",IF($E278="","Select Job Title",IF($I278="","Enter Pay Rate",IF($S278="","Job Title not found","Ready")))))</x:f>
      </x:c>
    </x:row>
    <x:row r="279" ht="22" customHeight="1">
      <x:c r="A279" s="205"/>
      <x:c r="B279" s="205"/>
      <x:c r="C279" s="206"/>
      <x:c r="D279" s="205"/>
      <x:c r="E279" s="207"/>
      <x:c r="F279" s="208"/>
      <x:c r="G279" s="209" t="str">
        <x:f>IF($S279="","",IFERROR(VLOOKUP($S279,'Data'!$D$2:$G$14,3,FALSE),""))</x:f>
      </x:c>
      <x:c r="H279" s="210" t="str">
        <x:f>IF($G279="","",$G279/'Data'!$O$2/'Data'!$O$3)</x:f>
      </x:c>
      <x:c r="I279" s="211"/>
      <x:c r="J279" s="209" t="str">
        <x:f>IF(OR($E279="",$I279=""),"",$I279*'Data'!$O$2*'Data'!$O$3)</x:f>
      </x:c>
      <x:c r="K279" s="212" t="str">
        <x:f>IF(OR($J279="",$G279=""),"",$J279/$G279)</x:f>
      </x:c>
      <x:c r="L279" s="213" t="str">
        <x:f>IF($K279="","",VLOOKUP($K279,'Data'!$I$2:$L$6,3,TRUE))</x:f>
      </x:c>
      <x:c r="M279" s="210" t="str">
        <x:f>IF($L279="","",$I279*$L279)</x:f>
      </x:c>
      <x:c r="N279" s="214" t="str">
        <x:f>IF($M279="","",ROUNDDOWN($I279+$M279,2))</x:f>
      </x:c>
      <x:c r="O279" s="210" t="str">
        <x:f>IF($N279="","",ROUNDDOWN(ROUNDDOWN($N279,2)*$R279,3))</x:f>
      </x:c>
      <x:c r="P279" s="215"/>
      <x:c r="Q279" s="222" t="str">
        <x:f>IF($E279="","",IF(OR(RIGHT(UPPER(TRIM(SUBSTITUTE(CLEAN($E279),CHAR(160)," "))),2)="P1",RIGHT(UPPER(TRIM(SUBSTITUTE(CLEAN($E279),CHAR(160)," "))),2)="P2",RIGHT(UPPER(TRIM(SUBSTITUTE(CLEAN($E279),CHAR(160)," "))),2)="P3",RIGHT(UPPER(TRIM(SUBSTITUTE(CLEAN($E279),CHAR(160)," "))),2)="P4",ISNUMBER(SEARCH("INDUSTRIAL HYGIENIST 1 ENVIRONMENT",UPPER(TRIM(SUBSTITUTE(CLEAN($E279),CHAR(160)," ")))))),"PS","GS"))</x:f>
      </x:c>
      <x:c r="R279" s="223" t="str">
        <x:f>IF($Q279="","",IF($Q279="PS",'Data'!$O$5,'Data'!$O$4))</x:f>
      </x:c>
      <x:c r="S279" s="224" t="str">
        <x:f>IF($E279="","",IFERROR(VLOOKUP($E279,'Data'!$A$2:$B$114,2,FALSE),""))</x:f>
      </x:c>
      <x:c r="T279" s="217" t="str">
        <x:f>IF($K279="","",VLOOKUP($K279,'Data'!$I$2:$L$6,2,TRUE))</x:f>
      </x:c>
      <x:c r="U279" s="217"/>
      <x:c r="V279" s="221" t="str">
        <x:f>IF($L279="","",$J279*$L279)</x:f>
      </x:c>
      <x:c r="W279" s="221" t="str">
        <x:f>IF($V279="","",$J279+$V279)</x:f>
      </x:c>
      <x:c r="X279" s="217" t="str">
        <x:f>IF($Y279="Ready","Review and inform supplier","")</x:f>
      </x:c>
      <x:c r="Y279" s="217" t="str">
        <x:f>IF(AND($B279="",$E279="",$I279=""),"",IF($B279="","Missing Assignment Number",IF($E279="","Select Job Title",IF($I279="","Enter Pay Rate",IF($S279="","Job Title not found","Ready")))))</x:f>
      </x:c>
    </x:row>
    <x:row r="280" ht="22" customHeight="1">
      <x:c r="A280" s="205"/>
      <x:c r="B280" s="205"/>
      <x:c r="C280" s="206"/>
      <x:c r="D280" s="205"/>
      <x:c r="E280" s="207"/>
      <x:c r="F280" s="208"/>
      <x:c r="G280" s="209" t="str">
        <x:f>IF($S280="","",IFERROR(VLOOKUP($S280,'Data'!$D$2:$G$14,3,FALSE),""))</x:f>
      </x:c>
      <x:c r="H280" s="210" t="str">
        <x:f>IF($G280="","",$G280/'Data'!$O$2/'Data'!$O$3)</x:f>
      </x:c>
      <x:c r="I280" s="211"/>
      <x:c r="J280" s="209" t="str">
        <x:f>IF(OR($E280="",$I280=""),"",$I280*'Data'!$O$2*'Data'!$O$3)</x:f>
      </x:c>
      <x:c r="K280" s="212" t="str">
        <x:f>IF(OR($J280="",$G280=""),"",$J280/$G280)</x:f>
      </x:c>
      <x:c r="L280" s="213" t="str">
        <x:f>IF($K280="","",VLOOKUP($K280,'Data'!$I$2:$L$6,3,TRUE))</x:f>
      </x:c>
      <x:c r="M280" s="210" t="str">
        <x:f>IF($L280="","",$I280*$L280)</x:f>
      </x:c>
      <x:c r="N280" s="214" t="str">
        <x:f>IF($M280="","",ROUNDDOWN($I280+$M280,2))</x:f>
      </x:c>
      <x:c r="O280" s="210" t="str">
        <x:f>IF($N280="","",ROUNDDOWN(ROUNDDOWN($N280,2)*$R280,3))</x:f>
      </x:c>
      <x:c r="P280" s="215"/>
      <x:c r="Q280" s="222" t="str">
        <x:f>IF($E280="","",IF(OR(RIGHT(UPPER(TRIM(SUBSTITUTE(CLEAN($E280),CHAR(160)," "))),2)="P1",RIGHT(UPPER(TRIM(SUBSTITUTE(CLEAN($E280),CHAR(160)," "))),2)="P2",RIGHT(UPPER(TRIM(SUBSTITUTE(CLEAN($E280),CHAR(160)," "))),2)="P3",RIGHT(UPPER(TRIM(SUBSTITUTE(CLEAN($E280),CHAR(160)," "))),2)="P4",ISNUMBER(SEARCH("INDUSTRIAL HYGIENIST 1 ENVIRONMENT",UPPER(TRIM(SUBSTITUTE(CLEAN($E280),CHAR(160)," ")))))),"PS","GS"))</x:f>
      </x:c>
      <x:c r="R280" s="223" t="str">
        <x:f>IF($Q280="","",IF($Q280="PS",'Data'!$O$5,'Data'!$O$4))</x:f>
      </x:c>
      <x:c r="S280" s="224" t="str">
        <x:f>IF($E280="","",IFERROR(VLOOKUP($E280,'Data'!$A$2:$B$114,2,FALSE),""))</x:f>
      </x:c>
      <x:c r="T280" s="217" t="str">
        <x:f>IF($K280="","",VLOOKUP($K280,'Data'!$I$2:$L$6,2,TRUE))</x:f>
      </x:c>
      <x:c r="U280" s="217"/>
      <x:c r="V280" s="221" t="str">
        <x:f>IF($L280="","",$J280*$L280)</x:f>
      </x:c>
      <x:c r="W280" s="221" t="str">
        <x:f>IF($V280="","",$J280+$V280)</x:f>
      </x:c>
      <x:c r="X280" s="217" t="str">
        <x:f>IF($Y280="Ready","Review and inform supplier","")</x:f>
      </x:c>
      <x:c r="Y280" s="217" t="str">
        <x:f>IF(AND($B280="",$E280="",$I280=""),"",IF($B280="","Missing Assignment Number",IF($E280="","Select Job Title",IF($I280="","Enter Pay Rate",IF($S280="","Job Title not found","Ready")))))</x:f>
      </x:c>
    </x:row>
    <x:row r="281" ht="22" customHeight="1">
      <x:c r="A281" s="205"/>
      <x:c r="B281" s="205"/>
      <x:c r="C281" s="206"/>
      <x:c r="D281" s="205"/>
      <x:c r="E281" s="207"/>
      <x:c r="F281" s="208"/>
      <x:c r="G281" s="209" t="str">
        <x:f>IF($S281="","",IFERROR(VLOOKUP($S281,'Data'!$D$2:$G$14,3,FALSE),""))</x:f>
      </x:c>
      <x:c r="H281" s="210" t="str">
        <x:f>IF($G281="","",$G281/'Data'!$O$2/'Data'!$O$3)</x:f>
      </x:c>
      <x:c r="I281" s="211"/>
      <x:c r="J281" s="209" t="str">
        <x:f>IF(OR($E281="",$I281=""),"",$I281*'Data'!$O$2*'Data'!$O$3)</x:f>
      </x:c>
      <x:c r="K281" s="212" t="str">
        <x:f>IF(OR($J281="",$G281=""),"",$J281/$G281)</x:f>
      </x:c>
      <x:c r="L281" s="213" t="str">
        <x:f>IF($K281="","",VLOOKUP($K281,'Data'!$I$2:$L$6,3,TRUE))</x:f>
      </x:c>
      <x:c r="M281" s="210" t="str">
        <x:f>IF($L281="","",$I281*$L281)</x:f>
      </x:c>
      <x:c r="N281" s="214" t="str">
        <x:f>IF($M281="","",ROUNDDOWN($I281+$M281,2))</x:f>
      </x:c>
      <x:c r="O281" s="210" t="str">
        <x:f>IF($N281="","",ROUNDDOWN(ROUNDDOWN($N281,2)*$R281,3))</x:f>
      </x:c>
      <x:c r="P281" s="215"/>
      <x:c r="Q281" s="222" t="str">
        <x:f>IF($E281="","",IF(OR(RIGHT(UPPER(TRIM(SUBSTITUTE(CLEAN($E281),CHAR(160)," "))),2)="P1",RIGHT(UPPER(TRIM(SUBSTITUTE(CLEAN($E281),CHAR(160)," "))),2)="P2",RIGHT(UPPER(TRIM(SUBSTITUTE(CLEAN($E281),CHAR(160)," "))),2)="P3",RIGHT(UPPER(TRIM(SUBSTITUTE(CLEAN($E281),CHAR(160)," "))),2)="P4",ISNUMBER(SEARCH("INDUSTRIAL HYGIENIST 1 ENVIRONMENT",UPPER(TRIM(SUBSTITUTE(CLEAN($E281),CHAR(160)," ")))))),"PS","GS"))</x:f>
      </x:c>
      <x:c r="R281" s="223" t="str">
        <x:f>IF($Q281="","",IF($Q281="PS",'Data'!$O$5,'Data'!$O$4))</x:f>
      </x:c>
      <x:c r="S281" s="224" t="str">
        <x:f>IF($E281="","",IFERROR(VLOOKUP($E281,'Data'!$A$2:$B$114,2,FALSE),""))</x:f>
      </x:c>
      <x:c r="T281" s="217" t="str">
        <x:f>IF($K281="","",VLOOKUP($K281,'Data'!$I$2:$L$6,2,TRUE))</x:f>
      </x:c>
      <x:c r="U281" s="217"/>
      <x:c r="V281" s="221" t="str">
        <x:f>IF($L281="","",$J281*$L281)</x:f>
      </x:c>
      <x:c r="W281" s="221" t="str">
        <x:f>IF($V281="","",$J281+$V281)</x:f>
      </x:c>
      <x:c r="X281" s="217" t="str">
        <x:f>IF($Y281="Ready","Review and inform supplier","")</x:f>
      </x:c>
      <x:c r="Y281" s="217" t="str">
        <x:f>IF(AND($B281="",$E281="",$I281=""),"",IF($B281="","Missing Assignment Number",IF($E281="","Select Job Title",IF($I281="","Enter Pay Rate",IF($S281="","Job Title not found","Ready")))))</x:f>
      </x:c>
    </x:row>
    <x:row r="282" ht="22" customHeight="1">
      <x:c r="A282" s="205"/>
      <x:c r="B282" s="205"/>
      <x:c r="C282" s="206"/>
      <x:c r="D282" s="205"/>
      <x:c r="E282" s="207"/>
      <x:c r="F282" s="208"/>
      <x:c r="G282" s="209" t="str">
        <x:f>IF($S282="","",IFERROR(VLOOKUP($S282,'Data'!$D$2:$G$14,3,FALSE),""))</x:f>
      </x:c>
      <x:c r="H282" s="210" t="str">
        <x:f>IF($G282="","",$G282/'Data'!$O$2/'Data'!$O$3)</x:f>
      </x:c>
      <x:c r="I282" s="211"/>
      <x:c r="J282" s="209" t="str">
        <x:f>IF(OR($E282="",$I282=""),"",$I282*'Data'!$O$2*'Data'!$O$3)</x:f>
      </x:c>
      <x:c r="K282" s="212" t="str">
        <x:f>IF(OR($J282="",$G282=""),"",$J282/$G282)</x:f>
      </x:c>
      <x:c r="L282" s="213" t="str">
        <x:f>IF($K282="","",VLOOKUP($K282,'Data'!$I$2:$L$6,3,TRUE))</x:f>
      </x:c>
      <x:c r="M282" s="210" t="str">
        <x:f>IF($L282="","",$I282*$L282)</x:f>
      </x:c>
      <x:c r="N282" s="214" t="str">
        <x:f>IF($M282="","",ROUNDDOWN($I282+$M282,2))</x:f>
      </x:c>
      <x:c r="O282" s="210" t="str">
        <x:f>IF($N282="","",ROUNDDOWN(ROUNDDOWN($N282,2)*$R282,3))</x:f>
      </x:c>
      <x:c r="P282" s="215"/>
      <x:c r="Q282" s="222" t="str">
        <x:f>IF($E282="","",IF(OR(RIGHT(UPPER(TRIM(SUBSTITUTE(CLEAN($E282),CHAR(160)," "))),2)="P1",RIGHT(UPPER(TRIM(SUBSTITUTE(CLEAN($E282),CHAR(160)," "))),2)="P2",RIGHT(UPPER(TRIM(SUBSTITUTE(CLEAN($E282),CHAR(160)," "))),2)="P3",RIGHT(UPPER(TRIM(SUBSTITUTE(CLEAN($E282),CHAR(160)," "))),2)="P4",ISNUMBER(SEARCH("INDUSTRIAL HYGIENIST 1 ENVIRONMENT",UPPER(TRIM(SUBSTITUTE(CLEAN($E282),CHAR(160)," ")))))),"PS","GS"))</x:f>
      </x:c>
      <x:c r="R282" s="223" t="str">
        <x:f>IF($Q282="","",IF($Q282="PS",'Data'!$O$5,'Data'!$O$4))</x:f>
      </x:c>
      <x:c r="S282" s="224" t="str">
        <x:f>IF($E282="","",IFERROR(VLOOKUP($E282,'Data'!$A$2:$B$114,2,FALSE),""))</x:f>
      </x:c>
      <x:c r="T282" s="217" t="str">
        <x:f>IF($K282="","",VLOOKUP($K282,'Data'!$I$2:$L$6,2,TRUE))</x:f>
      </x:c>
      <x:c r="U282" s="217"/>
      <x:c r="V282" s="221" t="str">
        <x:f>IF($L282="","",$J282*$L282)</x:f>
      </x:c>
      <x:c r="W282" s="221" t="str">
        <x:f>IF($V282="","",$J282+$V282)</x:f>
      </x:c>
      <x:c r="X282" s="217" t="str">
        <x:f>IF($Y282="Ready","Review and inform supplier","")</x:f>
      </x:c>
      <x:c r="Y282" s="217" t="str">
        <x:f>IF(AND($B282="",$E282="",$I282=""),"",IF($B282="","Missing Assignment Number",IF($E282="","Select Job Title",IF($I282="","Enter Pay Rate",IF($S282="","Job Title not found","Ready")))))</x:f>
      </x:c>
    </x:row>
    <x:row r="283" ht="22" customHeight="1">
      <x:c r="A283" s="205"/>
      <x:c r="B283" s="205"/>
      <x:c r="C283" s="206"/>
      <x:c r="D283" s="205"/>
      <x:c r="E283" s="207"/>
      <x:c r="F283" s="208"/>
      <x:c r="G283" s="209" t="str">
        <x:f>IF($S283="","",IFERROR(VLOOKUP($S283,'Data'!$D$2:$G$14,3,FALSE),""))</x:f>
      </x:c>
      <x:c r="H283" s="210" t="str">
        <x:f>IF($G283="","",$G283/'Data'!$O$2/'Data'!$O$3)</x:f>
      </x:c>
      <x:c r="I283" s="211"/>
      <x:c r="J283" s="209" t="str">
        <x:f>IF(OR($E283="",$I283=""),"",$I283*'Data'!$O$2*'Data'!$O$3)</x:f>
      </x:c>
      <x:c r="K283" s="212" t="str">
        <x:f>IF(OR($J283="",$G283=""),"",$J283/$G283)</x:f>
      </x:c>
      <x:c r="L283" s="213" t="str">
        <x:f>IF($K283="","",VLOOKUP($K283,'Data'!$I$2:$L$6,3,TRUE))</x:f>
      </x:c>
      <x:c r="M283" s="210" t="str">
        <x:f>IF($L283="","",$I283*$L283)</x:f>
      </x:c>
      <x:c r="N283" s="214" t="str">
        <x:f>IF($M283="","",ROUNDDOWN($I283+$M283,2))</x:f>
      </x:c>
      <x:c r="O283" s="210" t="str">
        <x:f>IF($N283="","",ROUNDDOWN(ROUNDDOWN($N283,2)*$R283,3))</x:f>
      </x:c>
      <x:c r="P283" s="215"/>
      <x:c r="Q283" s="222" t="str">
        <x:f>IF($E283="","",IF(OR(RIGHT(UPPER(TRIM(SUBSTITUTE(CLEAN($E283),CHAR(160)," "))),2)="P1",RIGHT(UPPER(TRIM(SUBSTITUTE(CLEAN($E283),CHAR(160)," "))),2)="P2",RIGHT(UPPER(TRIM(SUBSTITUTE(CLEAN($E283),CHAR(160)," "))),2)="P3",RIGHT(UPPER(TRIM(SUBSTITUTE(CLEAN($E283),CHAR(160)," "))),2)="P4",ISNUMBER(SEARCH("INDUSTRIAL HYGIENIST 1 ENVIRONMENT",UPPER(TRIM(SUBSTITUTE(CLEAN($E283),CHAR(160)," ")))))),"PS","GS"))</x:f>
      </x:c>
      <x:c r="R283" s="223" t="str">
        <x:f>IF($Q283="","",IF($Q283="PS",'Data'!$O$5,'Data'!$O$4))</x:f>
      </x:c>
      <x:c r="S283" s="224" t="str">
        <x:f>IF($E283="","",IFERROR(VLOOKUP($E283,'Data'!$A$2:$B$114,2,FALSE),""))</x:f>
      </x:c>
      <x:c r="T283" s="217" t="str">
        <x:f>IF($K283="","",VLOOKUP($K283,'Data'!$I$2:$L$6,2,TRUE))</x:f>
      </x:c>
      <x:c r="U283" s="217"/>
      <x:c r="V283" s="221" t="str">
        <x:f>IF($L283="","",$J283*$L283)</x:f>
      </x:c>
      <x:c r="W283" s="221" t="str">
        <x:f>IF($V283="","",$J283+$V283)</x:f>
      </x:c>
      <x:c r="X283" s="217" t="str">
        <x:f>IF($Y283="Ready","Review and inform supplier","")</x:f>
      </x:c>
      <x:c r="Y283" s="217" t="str">
        <x:f>IF(AND($B283="",$E283="",$I283=""),"",IF($B283="","Missing Assignment Number",IF($E283="","Select Job Title",IF($I283="","Enter Pay Rate",IF($S283="","Job Title not found","Ready")))))</x:f>
      </x:c>
    </x:row>
    <x:row r="284" ht="22" customHeight="1">
      <x:c r="A284" s="205"/>
      <x:c r="B284" s="205"/>
      <x:c r="C284" s="206"/>
      <x:c r="D284" s="205"/>
      <x:c r="E284" s="207"/>
      <x:c r="F284" s="208"/>
      <x:c r="G284" s="209" t="str">
        <x:f>IF($S284="","",IFERROR(VLOOKUP($S284,'Data'!$D$2:$G$14,3,FALSE),""))</x:f>
      </x:c>
      <x:c r="H284" s="210" t="str">
        <x:f>IF($G284="","",$G284/'Data'!$O$2/'Data'!$O$3)</x:f>
      </x:c>
      <x:c r="I284" s="211"/>
      <x:c r="J284" s="209" t="str">
        <x:f>IF(OR($E284="",$I284=""),"",$I284*'Data'!$O$2*'Data'!$O$3)</x:f>
      </x:c>
      <x:c r="K284" s="212" t="str">
        <x:f>IF(OR($J284="",$G284=""),"",$J284/$G284)</x:f>
      </x:c>
      <x:c r="L284" s="213" t="str">
        <x:f>IF($K284="","",VLOOKUP($K284,'Data'!$I$2:$L$6,3,TRUE))</x:f>
      </x:c>
      <x:c r="M284" s="210" t="str">
        <x:f>IF($L284="","",$I284*$L284)</x:f>
      </x:c>
      <x:c r="N284" s="214" t="str">
        <x:f>IF($M284="","",ROUNDDOWN($I284+$M284,2))</x:f>
      </x:c>
      <x:c r="O284" s="210" t="str">
        <x:f>IF($N284="","",ROUNDDOWN(ROUNDDOWN($N284,2)*$R284,3))</x:f>
      </x:c>
      <x:c r="P284" s="215"/>
      <x:c r="Q284" s="222" t="str">
        <x:f>IF($E284="","",IF(OR(RIGHT(UPPER(TRIM(SUBSTITUTE(CLEAN($E284),CHAR(160)," "))),2)="P1",RIGHT(UPPER(TRIM(SUBSTITUTE(CLEAN($E284),CHAR(160)," "))),2)="P2",RIGHT(UPPER(TRIM(SUBSTITUTE(CLEAN($E284),CHAR(160)," "))),2)="P3",RIGHT(UPPER(TRIM(SUBSTITUTE(CLEAN($E284),CHAR(160)," "))),2)="P4",ISNUMBER(SEARCH("INDUSTRIAL HYGIENIST 1 ENVIRONMENT",UPPER(TRIM(SUBSTITUTE(CLEAN($E284),CHAR(160)," ")))))),"PS","GS"))</x:f>
      </x:c>
      <x:c r="R284" s="223" t="str">
        <x:f>IF($Q284="","",IF($Q284="PS",'Data'!$O$5,'Data'!$O$4))</x:f>
      </x:c>
      <x:c r="S284" s="224" t="str">
        <x:f>IF($E284="","",IFERROR(VLOOKUP($E284,'Data'!$A$2:$B$114,2,FALSE),""))</x:f>
      </x:c>
      <x:c r="T284" s="217" t="str">
        <x:f>IF($K284="","",VLOOKUP($K284,'Data'!$I$2:$L$6,2,TRUE))</x:f>
      </x:c>
      <x:c r="U284" s="217"/>
      <x:c r="V284" s="221" t="str">
        <x:f>IF($L284="","",$J284*$L284)</x:f>
      </x:c>
      <x:c r="W284" s="221" t="str">
        <x:f>IF($V284="","",$J284+$V284)</x:f>
      </x:c>
      <x:c r="X284" s="217" t="str">
        <x:f>IF($Y284="Ready","Review and inform supplier","")</x:f>
      </x:c>
      <x:c r="Y284" s="217" t="str">
        <x:f>IF(AND($B284="",$E284="",$I284=""),"",IF($B284="","Missing Assignment Number",IF($E284="","Select Job Title",IF($I284="","Enter Pay Rate",IF($S284="","Job Title not found","Ready")))))</x:f>
      </x:c>
    </x:row>
    <x:row r="285" ht="22" customHeight="1">
      <x:c r="A285" s="205"/>
      <x:c r="B285" s="205"/>
      <x:c r="C285" s="206"/>
      <x:c r="D285" s="205"/>
      <x:c r="E285" s="207"/>
      <x:c r="F285" s="208"/>
      <x:c r="G285" s="209" t="str">
        <x:f>IF($S285="","",IFERROR(VLOOKUP($S285,'Data'!$D$2:$G$14,3,FALSE),""))</x:f>
      </x:c>
      <x:c r="H285" s="210" t="str">
        <x:f>IF($G285="","",$G285/'Data'!$O$2/'Data'!$O$3)</x:f>
      </x:c>
      <x:c r="I285" s="211"/>
      <x:c r="J285" s="209" t="str">
        <x:f>IF(OR($E285="",$I285=""),"",$I285*'Data'!$O$2*'Data'!$O$3)</x:f>
      </x:c>
      <x:c r="K285" s="212" t="str">
        <x:f>IF(OR($J285="",$G285=""),"",$J285/$G285)</x:f>
      </x:c>
      <x:c r="L285" s="213" t="str">
        <x:f>IF($K285="","",VLOOKUP($K285,'Data'!$I$2:$L$6,3,TRUE))</x:f>
      </x:c>
      <x:c r="M285" s="210" t="str">
        <x:f>IF($L285="","",$I285*$L285)</x:f>
      </x:c>
      <x:c r="N285" s="214" t="str">
        <x:f>IF($M285="","",ROUNDDOWN($I285+$M285,2))</x:f>
      </x:c>
      <x:c r="O285" s="210" t="str">
        <x:f>IF($N285="","",ROUNDDOWN(ROUNDDOWN($N285,2)*$R285,3))</x:f>
      </x:c>
      <x:c r="P285" s="215"/>
      <x:c r="Q285" s="222" t="str">
        <x:f>IF($E285="","",IF(OR(RIGHT(UPPER(TRIM(SUBSTITUTE(CLEAN($E285),CHAR(160)," "))),2)="P1",RIGHT(UPPER(TRIM(SUBSTITUTE(CLEAN($E285),CHAR(160)," "))),2)="P2",RIGHT(UPPER(TRIM(SUBSTITUTE(CLEAN($E285),CHAR(160)," "))),2)="P3",RIGHT(UPPER(TRIM(SUBSTITUTE(CLEAN($E285),CHAR(160)," "))),2)="P4",ISNUMBER(SEARCH("INDUSTRIAL HYGIENIST 1 ENVIRONMENT",UPPER(TRIM(SUBSTITUTE(CLEAN($E285),CHAR(160)," ")))))),"PS","GS"))</x:f>
      </x:c>
      <x:c r="R285" s="223" t="str">
        <x:f>IF($Q285="","",IF($Q285="PS",'Data'!$O$5,'Data'!$O$4))</x:f>
      </x:c>
      <x:c r="S285" s="224" t="str">
        <x:f>IF($E285="","",IFERROR(VLOOKUP($E285,'Data'!$A$2:$B$114,2,FALSE),""))</x:f>
      </x:c>
      <x:c r="T285" s="217" t="str">
        <x:f>IF($K285="","",VLOOKUP($K285,'Data'!$I$2:$L$6,2,TRUE))</x:f>
      </x:c>
      <x:c r="U285" s="217"/>
      <x:c r="V285" s="221" t="str">
        <x:f>IF($L285="","",$J285*$L285)</x:f>
      </x:c>
      <x:c r="W285" s="221" t="str">
        <x:f>IF($V285="","",$J285+$V285)</x:f>
      </x:c>
      <x:c r="X285" s="217" t="str">
        <x:f>IF($Y285="Ready","Review and inform supplier","")</x:f>
      </x:c>
      <x:c r="Y285" s="217" t="str">
        <x:f>IF(AND($B285="",$E285="",$I285=""),"",IF($B285="","Missing Assignment Number",IF($E285="","Select Job Title",IF($I285="","Enter Pay Rate",IF($S285="","Job Title not found","Ready")))))</x:f>
      </x:c>
    </x:row>
    <x:row r="286" ht="22" customHeight="1">
      <x:c r="A286" s="205"/>
      <x:c r="B286" s="205"/>
      <x:c r="C286" s="206"/>
      <x:c r="D286" s="205"/>
      <x:c r="E286" s="207"/>
      <x:c r="F286" s="208"/>
      <x:c r="G286" s="209" t="str">
        <x:f>IF($S286="","",IFERROR(VLOOKUP($S286,'Data'!$D$2:$G$14,3,FALSE),""))</x:f>
      </x:c>
      <x:c r="H286" s="210" t="str">
        <x:f>IF($G286="","",$G286/'Data'!$O$2/'Data'!$O$3)</x:f>
      </x:c>
      <x:c r="I286" s="211"/>
      <x:c r="J286" s="209" t="str">
        <x:f>IF(OR($E286="",$I286=""),"",$I286*'Data'!$O$2*'Data'!$O$3)</x:f>
      </x:c>
      <x:c r="K286" s="212" t="str">
        <x:f>IF(OR($J286="",$G286=""),"",$J286/$G286)</x:f>
      </x:c>
      <x:c r="L286" s="213" t="str">
        <x:f>IF($K286="","",VLOOKUP($K286,'Data'!$I$2:$L$6,3,TRUE))</x:f>
      </x:c>
      <x:c r="M286" s="210" t="str">
        <x:f>IF($L286="","",$I286*$L286)</x:f>
      </x:c>
      <x:c r="N286" s="214" t="str">
        <x:f>IF($M286="","",ROUNDDOWN($I286+$M286,2))</x:f>
      </x:c>
      <x:c r="O286" s="210" t="str">
        <x:f>IF($N286="","",ROUNDDOWN(ROUNDDOWN($N286,2)*$R286,3))</x:f>
      </x:c>
      <x:c r="P286" s="215"/>
      <x:c r="Q286" s="222" t="str">
        <x:f>IF($E286="","",IF(OR(RIGHT(UPPER(TRIM(SUBSTITUTE(CLEAN($E286),CHAR(160)," "))),2)="P1",RIGHT(UPPER(TRIM(SUBSTITUTE(CLEAN($E286),CHAR(160)," "))),2)="P2",RIGHT(UPPER(TRIM(SUBSTITUTE(CLEAN($E286),CHAR(160)," "))),2)="P3",RIGHT(UPPER(TRIM(SUBSTITUTE(CLEAN($E286),CHAR(160)," "))),2)="P4",ISNUMBER(SEARCH("INDUSTRIAL HYGIENIST 1 ENVIRONMENT",UPPER(TRIM(SUBSTITUTE(CLEAN($E286),CHAR(160)," ")))))),"PS","GS"))</x:f>
      </x:c>
      <x:c r="R286" s="223" t="str">
        <x:f>IF($Q286="","",IF($Q286="PS",'Data'!$O$5,'Data'!$O$4))</x:f>
      </x:c>
      <x:c r="S286" s="224" t="str">
        <x:f>IF($E286="","",IFERROR(VLOOKUP($E286,'Data'!$A$2:$B$114,2,FALSE),""))</x:f>
      </x:c>
      <x:c r="T286" s="217" t="str">
        <x:f>IF($K286="","",VLOOKUP($K286,'Data'!$I$2:$L$6,2,TRUE))</x:f>
      </x:c>
      <x:c r="U286" s="217"/>
      <x:c r="V286" s="221" t="str">
        <x:f>IF($L286="","",$J286*$L286)</x:f>
      </x:c>
      <x:c r="W286" s="221" t="str">
        <x:f>IF($V286="","",$J286+$V286)</x:f>
      </x:c>
      <x:c r="X286" s="217" t="str">
        <x:f>IF($Y286="Ready","Review and inform supplier","")</x:f>
      </x:c>
      <x:c r="Y286" s="217" t="str">
        <x:f>IF(AND($B286="",$E286="",$I286=""),"",IF($B286="","Missing Assignment Number",IF($E286="","Select Job Title",IF($I286="","Enter Pay Rate",IF($S286="","Job Title not found","Ready")))))</x:f>
      </x:c>
    </x:row>
    <x:row r="287" ht="22" customHeight="1">
      <x:c r="A287" s="205"/>
      <x:c r="B287" s="205"/>
      <x:c r="C287" s="206"/>
      <x:c r="D287" s="205"/>
      <x:c r="E287" s="207"/>
      <x:c r="F287" s="208"/>
      <x:c r="G287" s="209" t="str">
        <x:f>IF($S287="","",IFERROR(VLOOKUP($S287,'Data'!$D$2:$G$14,3,FALSE),""))</x:f>
      </x:c>
      <x:c r="H287" s="210" t="str">
        <x:f>IF($G287="","",$G287/'Data'!$O$2/'Data'!$O$3)</x:f>
      </x:c>
      <x:c r="I287" s="211"/>
      <x:c r="J287" s="209" t="str">
        <x:f>IF(OR($E287="",$I287=""),"",$I287*'Data'!$O$2*'Data'!$O$3)</x:f>
      </x:c>
      <x:c r="K287" s="212" t="str">
        <x:f>IF(OR($J287="",$G287=""),"",$J287/$G287)</x:f>
      </x:c>
      <x:c r="L287" s="213" t="str">
        <x:f>IF($K287="","",VLOOKUP($K287,'Data'!$I$2:$L$6,3,TRUE))</x:f>
      </x:c>
      <x:c r="M287" s="210" t="str">
        <x:f>IF($L287="","",$I287*$L287)</x:f>
      </x:c>
      <x:c r="N287" s="214" t="str">
        <x:f>IF($M287="","",ROUNDDOWN($I287+$M287,2))</x:f>
      </x:c>
      <x:c r="O287" s="210" t="str">
        <x:f>IF($N287="","",ROUNDDOWN(ROUNDDOWN($N287,2)*$R287,3))</x:f>
      </x:c>
      <x:c r="P287" s="215"/>
      <x:c r="Q287" s="222" t="str">
        <x:f>IF($E287="","",IF(OR(RIGHT(UPPER(TRIM(SUBSTITUTE(CLEAN($E287),CHAR(160)," "))),2)="P1",RIGHT(UPPER(TRIM(SUBSTITUTE(CLEAN($E287),CHAR(160)," "))),2)="P2",RIGHT(UPPER(TRIM(SUBSTITUTE(CLEAN($E287),CHAR(160)," "))),2)="P3",RIGHT(UPPER(TRIM(SUBSTITUTE(CLEAN($E287),CHAR(160)," "))),2)="P4",ISNUMBER(SEARCH("INDUSTRIAL HYGIENIST 1 ENVIRONMENT",UPPER(TRIM(SUBSTITUTE(CLEAN($E287),CHAR(160)," ")))))),"PS","GS"))</x:f>
      </x:c>
      <x:c r="R287" s="223" t="str">
        <x:f>IF($Q287="","",IF($Q287="PS",'Data'!$O$5,'Data'!$O$4))</x:f>
      </x:c>
      <x:c r="S287" s="224" t="str">
        <x:f>IF($E287="","",IFERROR(VLOOKUP($E287,'Data'!$A$2:$B$114,2,FALSE),""))</x:f>
      </x:c>
      <x:c r="T287" s="217" t="str">
        <x:f>IF($K287="","",VLOOKUP($K287,'Data'!$I$2:$L$6,2,TRUE))</x:f>
      </x:c>
      <x:c r="U287" s="217"/>
      <x:c r="V287" s="221" t="str">
        <x:f>IF($L287="","",$J287*$L287)</x:f>
      </x:c>
      <x:c r="W287" s="221" t="str">
        <x:f>IF($V287="","",$J287+$V287)</x:f>
      </x:c>
      <x:c r="X287" s="217" t="str">
        <x:f>IF($Y287="Ready","Review and inform supplier","")</x:f>
      </x:c>
      <x:c r="Y287" s="217" t="str">
        <x:f>IF(AND($B287="",$E287="",$I287=""),"",IF($B287="","Missing Assignment Number",IF($E287="","Select Job Title",IF($I287="","Enter Pay Rate",IF($S287="","Job Title not found","Ready")))))</x:f>
      </x:c>
    </x:row>
    <x:row r="288" ht="22" customHeight="1">
      <x:c r="A288" s="205"/>
      <x:c r="B288" s="205"/>
      <x:c r="C288" s="206"/>
      <x:c r="D288" s="205"/>
      <x:c r="E288" s="207"/>
      <x:c r="F288" s="208"/>
      <x:c r="G288" s="209" t="str">
        <x:f>IF($S288="","",IFERROR(VLOOKUP($S288,'Data'!$D$2:$G$14,3,FALSE),""))</x:f>
      </x:c>
      <x:c r="H288" s="210" t="str">
        <x:f>IF($G288="","",$G288/'Data'!$O$2/'Data'!$O$3)</x:f>
      </x:c>
      <x:c r="I288" s="211"/>
      <x:c r="J288" s="209" t="str">
        <x:f>IF(OR($E288="",$I288=""),"",$I288*'Data'!$O$2*'Data'!$O$3)</x:f>
      </x:c>
      <x:c r="K288" s="212" t="str">
        <x:f>IF(OR($J288="",$G288=""),"",$J288/$G288)</x:f>
      </x:c>
      <x:c r="L288" s="213" t="str">
        <x:f>IF($K288="","",VLOOKUP($K288,'Data'!$I$2:$L$6,3,TRUE))</x:f>
      </x:c>
      <x:c r="M288" s="210" t="str">
        <x:f>IF($L288="","",$I288*$L288)</x:f>
      </x:c>
      <x:c r="N288" s="214" t="str">
        <x:f>IF($M288="","",ROUNDDOWN($I288+$M288,2))</x:f>
      </x:c>
      <x:c r="O288" s="210" t="str">
        <x:f>IF($N288="","",ROUNDDOWN(ROUNDDOWN($N288,2)*$R288,3))</x:f>
      </x:c>
      <x:c r="P288" s="215"/>
      <x:c r="Q288" s="222" t="str">
        <x:f>IF($E288="","",IF(OR(RIGHT(UPPER(TRIM(SUBSTITUTE(CLEAN($E288),CHAR(160)," "))),2)="P1",RIGHT(UPPER(TRIM(SUBSTITUTE(CLEAN($E288),CHAR(160)," "))),2)="P2",RIGHT(UPPER(TRIM(SUBSTITUTE(CLEAN($E288),CHAR(160)," "))),2)="P3",RIGHT(UPPER(TRIM(SUBSTITUTE(CLEAN($E288),CHAR(160)," "))),2)="P4",ISNUMBER(SEARCH("INDUSTRIAL HYGIENIST 1 ENVIRONMENT",UPPER(TRIM(SUBSTITUTE(CLEAN($E288),CHAR(160)," ")))))),"PS","GS"))</x:f>
      </x:c>
      <x:c r="R288" s="223" t="str">
        <x:f>IF($Q288="","",IF($Q288="PS",'Data'!$O$5,'Data'!$O$4))</x:f>
      </x:c>
      <x:c r="S288" s="224" t="str">
        <x:f>IF($E288="","",IFERROR(VLOOKUP($E288,'Data'!$A$2:$B$114,2,FALSE),""))</x:f>
      </x:c>
      <x:c r="T288" s="217" t="str">
        <x:f>IF($K288="","",VLOOKUP($K288,'Data'!$I$2:$L$6,2,TRUE))</x:f>
      </x:c>
      <x:c r="U288" s="217"/>
      <x:c r="V288" s="221" t="str">
        <x:f>IF($L288="","",$J288*$L288)</x:f>
      </x:c>
      <x:c r="W288" s="221" t="str">
        <x:f>IF($V288="","",$J288+$V288)</x:f>
      </x:c>
      <x:c r="X288" s="217" t="str">
        <x:f>IF($Y288="Ready","Review and inform supplier","")</x:f>
      </x:c>
      <x:c r="Y288" s="217" t="str">
        <x:f>IF(AND($B288="",$E288="",$I288=""),"",IF($B288="","Missing Assignment Number",IF($E288="","Select Job Title",IF($I288="","Enter Pay Rate",IF($S288="","Job Title not found","Ready")))))</x:f>
      </x:c>
    </x:row>
    <x:row r="289" ht="22" customHeight="1">
      <x:c r="A289" s="205"/>
      <x:c r="B289" s="205"/>
      <x:c r="C289" s="206"/>
      <x:c r="D289" s="205"/>
      <x:c r="E289" s="207"/>
      <x:c r="F289" s="208"/>
      <x:c r="G289" s="209" t="str">
        <x:f>IF($S289="","",IFERROR(VLOOKUP($S289,'Data'!$D$2:$G$14,3,FALSE),""))</x:f>
      </x:c>
      <x:c r="H289" s="210" t="str">
        <x:f>IF($G289="","",$G289/'Data'!$O$2/'Data'!$O$3)</x:f>
      </x:c>
      <x:c r="I289" s="211"/>
      <x:c r="J289" s="209" t="str">
        <x:f>IF(OR($E289="",$I289=""),"",$I289*'Data'!$O$2*'Data'!$O$3)</x:f>
      </x:c>
      <x:c r="K289" s="212" t="str">
        <x:f>IF(OR($J289="",$G289=""),"",$J289/$G289)</x:f>
      </x:c>
      <x:c r="L289" s="213" t="str">
        <x:f>IF($K289="","",VLOOKUP($K289,'Data'!$I$2:$L$6,3,TRUE))</x:f>
      </x:c>
      <x:c r="M289" s="210" t="str">
        <x:f>IF($L289="","",$I289*$L289)</x:f>
      </x:c>
      <x:c r="N289" s="214" t="str">
        <x:f>IF($M289="","",ROUNDDOWN($I289+$M289,2))</x:f>
      </x:c>
      <x:c r="O289" s="210" t="str">
        <x:f>IF($N289="","",ROUNDDOWN(ROUNDDOWN($N289,2)*$R289,3))</x:f>
      </x:c>
      <x:c r="P289" s="215"/>
      <x:c r="Q289" s="222" t="str">
        <x:f>IF($E289="","",IF(OR(RIGHT(UPPER(TRIM(SUBSTITUTE(CLEAN($E289),CHAR(160)," "))),2)="P1",RIGHT(UPPER(TRIM(SUBSTITUTE(CLEAN($E289),CHAR(160)," "))),2)="P2",RIGHT(UPPER(TRIM(SUBSTITUTE(CLEAN($E289),CHAR(160)," "))),2)="P3",RIGHT(UPPER(TRIM(SUBSTITUTE(CLEAN($E289),CHAR(160)," "))),2)="P4",ISNUMBER(SEARCH("INDUSTRIAL HYGIENIST 1 ENVIRONMENT",UPPER(TRIM(SUBSTITUTE(CLEAN($E289),CHAR(160)," ")))))),"PS","GS"))</x:f>
      </x:c>
      <x:c r="R289" s="223" t="str">
        <x:f>IF($Q289="","",IF($Q289="PS",'Data'!$O$5,'Data'!$O$4))</x:f>
      </x:c>
      <x:c r="S289" s="224" t="str">
        <x:f>IF($E289="","",IFERROR(VLOOKUP($E289,'Data'!$A$2:$B$114,2,FALSE),""))</x:f>
      </x:c>
      <x:c r="T289" s="217" t="str">
        <x:f>IF($K289="","",VLOOKUP($K289,'Data'!$I$2:$L$6,2,TRUE))</x:f>
      </x:c>
      <x:c r="U289" s="217"/>
      <x:c r="V289" s="221" t="str">
        <x:f>IF($L289="","",$J289*$L289)</x:f>
      </x:c>
      <x:c r="W289" s="221" t="str">
        <x:f>IF($V289="","",$J289+$V289)</x:f>
      </x:c>
      <x:c r="X289" s="217" t="str">
        <x:f>IF($Y289="Ready","Review and inform supplier","")</x:f>
      </x:c>
      <x:c r="Y289" s="217" t="str">
        <x:f>IF(AND($B289="",$E289="",$I289=""),"",IF($B289="","Missing Assignment Number",IF($E289="","Select Job Title",IF($I289="","Enter Pay Rate",IF($S289="","Job Title not found","Ready")))))</x:f>
      </x:c>
    </x:row>
    <x:row r="290" ht="22" customHeight="1">
      <x:c r="A290" s="205"/>
      <x:c r="B290" s="205"/>
      <x:c r="C290" s="206"/>
      <x:c r="D290" s="205"/>
      <x:c r="E290" s="207"/>
      <x:c r="F290" s="208"/>
      <x:c r="G290" s="209" t="str">
        <x:f>IF($S290="","",IFERROR(VLOOKUP($S290,'Data'!$D$2:$G$14,3,FALSE),""))</x:f>
      </x:c>
      <x:c r="H290" s="210" t="str">
        <x:f>IF($G290="","",$G290/'Data'!$O$2/'Data'!$O$3)</x:f>
      </x:c>
      <x:c r="I290" s="211"/>
      <x:c r="J290" s="209" t="str">
        <x:f>IF(OR($E290="",$I290=""),"",$I290*'Data'!$O$2*'Data'!$O$3)</x:f>
      </x:c>
      <x:c r="K290" s="212" t="str">
        <x:f>IF(OR($J290="",$G290=""),"",$J290/$G290)</x:f>
      </x:c>
      <x:c r="L290" s="213" t="str">
        <x:f>IF($K290="","",VLOOKUP($K290,'Data'!$I$2:$L$6,3,TRUE))</x:f>
      </x:c>
      <x:c r="M290" s="210" t="str">
        <x:f>IF($L290="","",$I290*$L290)</x:f>
      </x:c>
      <x:c r="N290" s="214" t="str">
        <x:f>IF($M290="","",ROUNDDOWN($I290+$M290,2))</x:f>
      </x:c>
      <x:c r="O290" s="210" t="str">
        <x:f>IF($N290="","",ROUNDDOWN(ROUNDDOWN($N290,2)*$R290,3))</x:f>
      </x:c>
      <x:c r="P290" s="215"/>
      <x:c r="Q290" s="222" t="str">
        <x:f>IF($E290="","",IF(OR(RIGHT(UPPER(TRIM(SUBSTITUTE(CLEAN($E290),CHAR(160)," "))),2)="P1",RIGHT(UPPER(TRIM(SUBSTITUTE(CLEAN($E290),CHAR(160)," "))),2)="P2",RIGHT(UPPER(TRIM(SUBSTITUTE(CLEAN($E290),CHAR(160)," "))),2)="P3",RIGHT(UPPER(TRIM(SUBSTITUTE(CLEAN($E290),CHAR(160)," "))),2)="P4",ISNUMBER(SEARCH("INDUSTRIAL HYGIENIST 1 ENVIRONMENT",UPPER(TRIM(SUBSTITUTE(CLEAN($E290),CHAR(160)," ")))))),"PS","GS"))</x:f>
      </x:c>
      <x:c r="R290" s="223" t="str">
        <x:f>IF($Q290="","",IF($Q290="PS",'Data'!$O$5,'Data'!$O$4))</x:f>
      </x:c>
      <x:c r="S290" s="224" t="str">
        <x:f>IF($E290="","",IFERROR(VLOOKUP($E290,'Data'!$A$2:$B$114,2,FALSE),""))</x:f>
      </x:c>
      <x:c r="T290" s="217" t="str">
        <x:f>IF($K290="","",VLOOKUP($K290,'Data'!$I$2:$L$6,2,TRUE))</x:f>
      </x:c>
      <x:c r="U290" s="217"/>
      <x:c r="V290" s="221" t="str">
        <x:f>IF($L290="","",$J290*$L290)</x:f>
      </x:c>
      <x:c r="W290" s="221" t="str">
        <x:f>IF($V290="","",$J290+$V290)</x:f>
      </x:c>
      <x:c r="X290" s="217" t="str">
        <x:f>IF($Y290="Ready","Review and inform supplier","")</x:f>
      </x:c>
      <x:c r="Y290" s="217" t="str">
        <x:f>IF(AND($B290="",$E290="",$I290=""),"",IF($B290="","Missing Assignment Number",IF($E290="","Select Job Title",IF($I290="","Enter Pay Rate",IF($S290="","Job Title not found","Ready")))))</x:f>
      </x:c>
    </x:row>
    <x:row r="291" ht="22" customHeight="1">
      <x:c r="A291" s="205"/>
      <x:c r="B291" s="205"/>
      <x:c r="C291" s="206"/>
      <x:c r="D291" s="205"/>
      <x:c r="E291" s="207"/>
      <x:c r="F291" s="208"/>
      <x:c r="G291" s="209" t="str">
        <x:f>IF($S291="","",IFERROR(VLOOKUP($S291,'Data'!$D$2:$G$14,3,FALSE),""))</x:f>
      </x:c>
      <x:c r="H291" s="210" t="str">
        <x:f>IF($G291="","",$G291/'Data'!$O$2/'Data'!$O$3)</x:f>
      </x:c>
      <x:c r="I291" s="211"/>
      <x:c r="J291" s="209" t="str">
        <x:f>IF(OR($E291="",$I291=""),"",$I291*'Data'!$O$2*'Data'!$O$3)</x:f>
      </x:c>
      <x:c r="K291" s="212" t="str">
        <x:f>IF(OR($J291="",$G291=""),"",$J291/$G291)</x:f>
      </x:c>
      <x:c r="L291" s="213" t="str">
        <x:f>IF($K291="","",VLOOKUP($K291,'Data'!$I$2:$L$6,3,TRUE))</x:f>
      </x:c>
      <x:c r="M291" s="210" t="str">
        <x:f>IF($L291="","",$I291*$L291)</x:f>
      </x:c>
      <x:c r="N291" s="214" t="str">
        <x:f>IF($M291="","",ROUNDDOWN($I291+$M291,2))</x:f>
      </x:c>
      <x:c r="O291" s="210" t="str">
        <x:f>IF($N291="","",ROUNDDOWN(ROUNDDOWN($N291,2)*$R291,3))</x:f>
      </x:c>
      <x:c r="P291" s="215"/>
      <x:c r="Q291" s="222" t="str">
        <x:f>IF($E291="","",IF(OR(RIGHT(UPPER(TRIM(SUBSTITUTE(CLEAN($E291),CHAR(160)," "))),2)="P1",RIGHT(UPPER(TRIM(SUBSTITUTE(CLEAN($E291),CHAR(160)," "))),2)="P2",RIGHT(UPPER(TRIM(SUBSTITUTE(CLEAN($E291),CHAR(160)," "))),2)="P3",RIGHT(UPPER(TRIM(SUBSTITUTE(CLEAN($E291),CHAR(160)," "))),2)="P4",ISNUMBER(SEARCH("INDUSTRIAL HYGIENIST 1 ENVIRONMENT",UPPER(TRIM(SUBSTITUTE(CLEAN($E291),CHAR(160)," ")))))),"PS","GS"))</x:f>
      </x:c>
      <x:c r="R291" s="223" t="str">
        <x:f>IF($Q291="","",IF($Q291="PS",'Data'!$O$5,'Data'!$O$4))</x:f>
      </x:c>
      <x:c r="S291" s="224" t="str">
        <x:f>IF($E291="","",IFERROR(VLOOKUP($E291,'Data'!$A$2:$B$114,2,FALSE),""))</x:f>
      </x:c>
      <x:c r="T291" s="217" t="str">
        <x:f>IF($K291="","",VLOOKUP($K291,'Data'!$I$2:$L$6,2,TRUE))</x:f>
      </x:c>
      <x:c r="U291" s="217"/>
      <x:c r="V291" s="221" t="str">
        <x:f>IF($L291="","",$J291*$L291)</x:f>
      </x:c>
      <x:c r="W291" s="221" t="str">
        <x:f>IF($V291="","",$J291+$V291)</x:f>
      </x:c>
      <x:c r="X291" s="217" t="str">
        <x:f>IF($Y291="Ready","Review and inform supplier","")</x:f>
      </x:c>
      <x:c r="Y291" s="217" t="str">
        <x:f>IF(AND($B291="",$E291="",$I291=""),"",IF($B291="","Missing Assignment Number",IF($E291="","Select Job Title",IF($I291="","Enter Pay Rate",IF($S291="","Job Title not found","Ready")))))</x:f>
      </x:c>
    </x:row>
    <x:row r="292" ht="22" customHeight="1">
      <x:c r="A292" s="205"/>
      <x:c r="B292" s="205"/>
      <x:c r="C292" s="206"/>
      <x:c r="D292" s="205"/>
      <x:c r="E292" s="207"/>
      <x:c r="F292" s="208"/>
      <x:c r="G292" s="209" t="str">
        <x:f>IF($S292="","",IFERROR(VLOOKUP($S292,'Data'!$D$2:$G$14,3,FALSE),""))</x:f>
      </x:c>
      <x:c r="H292" s="210" t="str">
        <x:f>IF($G292="","",$G292/'Data'!$O$2/'Data'!$O$3)</x:f>
      </x:c>
      <x:c r="I292" s="211"/>
      <x:c r="J292" s="209" t="str">
        <x:f>IF(OR($E292="",$I292=""),"",$I292*'Data'!$O$2*'Data'!$O$3)</x:f>
      </x:c>
      <x:c r="K292" s="212" t="str">
        <x:f>IF(OR($J292="",$G292=""),"",$J292/$G292)</x:f>
      </x:c>
      <x:c r="L292" s="213" t="str">
        <x:f>IF($K292="","",VLOOKUP($K292,'Data'!$I$2:$L$6,3,TRUE))</x:f>
      </x:c>
      <x:c r="M292" s="210" t="str">
        <x:f>IF($L292="","",$I292*$L292)</x:f>
      </x:c>
      <x:c r="N292" s="214" t="str">
        <x:f>IF($M292="","",ROUNDDOWN($I292+$M292,2))</x:f>
      </x:c>
      <x:c r="O292" s="210" t="str">
        <x:f>IF($N292="","",ROUNDDOWN(ROUNDDOWN($N292,2)*$R292,3))</x:f>
      </x:c>
      <x:c r="P292" s="215"/>
      <x:c r="Q292" s="222" t="str">
        <x:f>IF($E292="","",IF(OR(RIGHT(UPPER(TRIM(SUBSTITUTE(CLEAN($E292),CHAR(160)," "))),2)="P1",RIGHT(UPPER(TRIM(SUBSTITUTE(CLEAN($E292),CHAR(160)," "))),2)="P2",RIGHT(UPPER(TRIM(SUBSTITUTE(CLEAN($E292),CHAR(160)," "))),2)="P3",RIGHT(UPPER(TRIM(SUBSTITUTE(CLEAN($E292),CHAR(160)," "))),2)="P4",ISNUMBER(SEARCH("INDUSTRIAL HYGIENIST 1 ENVIRONMENT",UPPER(TRIM(SUBSTITUTE(CLEAN($E292),CHAR(160)," ")))))),"PS","GS"))</x:f>
      </x:c>
      <x:c r="R292" s="223" t="str">
        <x:f>IF($Q292="","",IF($Q292="PS",'Data'!$O$5,'Data'!$O$4))</x:f>
      </x:c>
      <x:c r="S292" s="224" t="str">
        <x:f>IF($E292="","",IFERROR(VLOOKUP($E292,'Data'!$A$2:$B$114,2,FALSE),""))</x:f>
      </x:c>
      <x:c r="T292" s="217" t="str">
        <x:f>IF($K292="","",VLOOKUP($K292,'Data'!$I$2:$L$6,2,TRUE))</x:f>
      </x:c>
      <x:c r="U292" s="217"/>
      <x:c r="V292" s="221" t="str">
        <x:f>IF($L292="","",$J292*$L292)</x:f>
      </x:c>
      <x:c r="W292" s="221" t="str">
        <x:f>IF($V292="","",$J292+$V292)</x:f>
      </x:c>
      <x:c r="X292" s="217" t="str">
        <x:f>IF($Y292="Ready","Review and inform supplier","")</x:f>
      </x:c>
      <x:c r="Y292" s="217" t="str">
        <x:f>IF(AND($B292="",$E292="",$I292=""),"",IF($B292="","Missing Assignment Number",IF($E292="","Select Job Title",IF($I292="","Enter Pay Rate",IF($S292="","Job Title not found","Ready")))))</x:f>
      </x:c>
    </x:row>
    <x:row r="293" ht="22" customHeight="1">
      <x:c r="A293" s="205"/>
      <x:c r="B293" s="205"/>
      <x:c r="C293" s="206"/>
      <x:c r="D293" s="205"/>
      <x:c r="E293" s="207"/>
      <x:c r="F293" s="208"/>
      <x:c r="G293" s="209" t="str">
        <x:f>IF($S293="","",IFERROR(VLOOKUP($S293,'Data'!$D$2:$G$14,3,FALSE),""))</x:f>
      </x:c>
      <x:c r="H293" s="210" t="str">
        <x:f>IF($G293="","",$G293/'Data'!$O$2/'Data'!$O$3)</x:f>
      </x:c>
      <x:c r="I293" s="211"/>
      <x:c r="J293" s="209" t="str">
        <x:f>IF(OR($E293="",$I293=""),"",$I293*'Data'!$O$2*'Data'!$O$3)</x:f>
      </x:c>
      <x:c r="K293" s="212" t="str">
        <x:f>IF(OR($J293="",$G293=""),"",$J293/$G293)</x:f>
      </x:c>
      <x:c r="L293" s="213" t="str">
        <x:f>IF($K293="","",VLOOKUP($K293,'Data'!$I$2:$L$6,3,TRUE))</x:f>
      </x:c>
      <x:c r="M293" s="210" t="str">
        <x:f>IF($L293="","",$I293*$L293)</x:f>
      </x:c>
      <x:c r="N293" s="214" t="str">
        <x:f>IF($M293="","",ROUNDDOWN($I293+$M293,2))</x:f>
      </x:c>
      <x:c r="O293" s="210" t="str">
        <x:f>IF($N293="","",ROUNDDOWN(ROUNDDOWN($N293,2)*$R293,3))</x:f>
      </x:c>
      <x:c r="P293" s="215"/>
      <x:c r="Q293" s="222" t="str">
        <x:f>IF($E293="","",IF(OR(RIGHT(UPPER(TRIM(SUBSTITUTE(CLEAN($E293),CHAR(160)," "))),2)="P1",RIGHT(UPPER(TRIM(SUBSTITUTE(CLEAN($E293),CHAR(160)," "))),2)="P2",RIGHT(UPPER(TRIM(SUBSTITUTE(CLEAN($E293),CHAR(160)," "))),2)="P3",RIGHT(UPPER(TRIM(SUBSTITUTE(CLEAN($E293),CHAR(160)," "))),2)="P4",ISNUMBER(SEARCH("INDUSTRIAL HYGIENIST 1 ENVIRONMENT",UPPER(TRIM(SUBSTITUTE(CLEAN($E293),CHAR(160)," ")))))),"PS","GS"))</x:f>
      </x:c>
      <x:c r="R293" s="223" t="str">
        <x:f>IF($Q293="","",IF($Q293="PS",'Data'!$O$5,'Data'!$O$4))</x:f>
      </x:c>
      <x:c r="S293" s="224" t="str">
        <x:f>IF($E293="","",IFERROR(VLOOKUP($E293,'Data'!$A$2:$B$114,2,FALSE),""))</x:f>
      </x:c>
      <x:c r="T293" s="217" t="str">
        <x:f>IF($K293="","",VLOOKUP($K293,'Data'!$I$2:$L$6,2,TRUE))</x:f>
      </x:c>
      <x:c r="U293" s="217"/>
      <x:c r="V293" s="221" t="str">
        <x:f>IF($L293="","",$J293*$L293)</x:f>
      </x:c>
      <x:c r="W293" s="221" t="str">
        <x:f>IF($V293="","",$J293+$V293)</x:f>
      </x:c>
      <x:c r="X293" s="217" t="str">
        <x:f>IF($Y293="Ready","Review and inform supplier","")</x:f>
      </x:c>
      <x:c r="Y293" s="217" t="str">
        <x:f>IF(AND($B293="",$E293="",$I293=""),"",IF($B293="","Missing Assignment Number",IF($E293="","Select Job Title",IF($I293="","Enter Pay Rate",IF($S293="","Job Title not found","Ready")))))</x:f>
      </x:c>
    </x:row>
    <x:row r="294" ht="22" customHeight="1">
      <x:c r="A294" s="205"/>
      <x:c r="B294" s="205"/>
      <x:c r="C294" s="206"/>
      <x:c r="D294" s="205"/>
      <x:c r="E294" s="207"/>
      <x:c r="F294" s="208"/>
      <x:c r="G294" s="209" t="str">
        <x:f>IF($S294="","",IFERROR(VLOOKUP($S294,'Data'!$D$2:$G$14,3,FALSE),""))</x:f>
      </x:c>
      <x:c r="H294" s="210" t="str">
        <x:f>IF($G294="","",$G294/'Data'!$O$2/'Data'!$O$3)</x:f>
      </x:c>
      <x:c r="I294" s="211"/>
      <x:c r="J294" s="209" t="str">
        <x:f>IF(OR($E294="",$I294=""),"",$I294*'Data'!$O$2*'Data'!$O$3)</x:f>
      </x:c>
      <x:c r="K294" s="212" t="str">
        <x:f>IF(OR($J294="",$G294=""),"",$J294/$G294)</x:f>
      </x:c>
      <x:c r="L294" s="213" t="str">
        <x:f>IF($K294="","",VLOOKUP($K294,'Data'!$I$2:$L$6,3,TRUE))</x:f>
      </x:c>
      <x:c r="M294" s="210" t="str">
        <x:f>IF($L294="","",$I294*$L294)</x:f>
      </x:c>
      <x:c r="N294" s="214" t="str">
        <x:f>IF($M294="","",ROUNDDOWN($I294+$M294,2))</x:f>
      </x:c>
      <x:c r="O294" s="210" t="str">
        <x:f>IF($N294="","",ROUNDDOWN(ROUNDDOWN($N294,2)*$R294,3))</x:f>
      </x:c>
      <x:c r="P294" s="215"/>
      <x:c r="Q294" s="222" t="str">
        <x:f>IF($E294="","",IF(OR(RIGHT(UPPER(TRIM(SUBSTITUTE(CLEAN($E294),CHAR(160)," "))),2)="P1",RIGHT(UPPER(TRIM(SUBSTITUTE(CLEAN($E294),CHAR(160)," "))),2)="P2",RIGHT(UPPER(TRIM(SUBSTITUTE(CLEAN($E294),CHAR(160)," "))),2)="P3",RIGHT(UPPER(TRIM(SUBSTITUTE(CLEAN($E294),CHAR(160)," "))),2)="P4",ISNUMBER(SEARCH("INDUSTRIAL HYGIENIST 1 ENVIRONMENT",UPPER(TRIM(SUBSTITUTE(CLEAN($E294),CHAR(160)," ")))))),"PS","GS"))</x:f>
      </x:c>
      <x:c r="R294" s="223" t="str">
        <x:f>IF($Q294="","",IF($Q294="PS",'Data'!$O$5,'Data'!$O$4))</x:f>
      </x:c>
      <x:c r="S294" s="224" t="str">
        <x:f>IF($E294="","",IFERROR(VLOOKUP($E294,'Data'!$A$2:$B$114,2,FALSE),""))</x:f>
      </x:c>
      <x:c r="T294" s="217" t="str">
        <x:f>IF($K294="","",VLOOKUP($K294,'Data'!$I$2:$L$6,2,TRUE))</x:f>
      </x:c>
      <x:c r="U294" s="217"/>
      <x:c r="V294" s="221" t="str">
        <x:f>IF($L294="","",$J294*$L294)</x:f>
      </x:c>
      <x:c r="W294" s="221" t="str">
        <x:f>IF($V294="","",$J294+$V294)</x:f>
      </x:c>
      <x:c r="X294" s="217" t="str">
        <x:f>IF($Y294="Ready","Review and inform supplier","")</x:f>
      </x:c>
      <x:c r="Y294" s="217" t="str">
        <x:f>IF(AND($B294="",$E294="",$I294=""),"",IF($B294="","Missing Assignment Number",IF($E294="","Select Job Title",IF($I294="","Enter Pay Rate",IF($S294="","Job Title not found","Ready")))))</x:f>
      </x:c>
    </x:row>
    <x:row r="295" ht="22" customHeight="1">
      <x:c r="A295" s="205"/>
      <x:c r="B295" s="205"/>
      <x:c r="C295" s="206"/>
      <x:c r="D295" s="205"/>
      <x:c r="E295" s="207"/>
      <x:c r="F295" s="208"/>
      <x:c r="G295" s="209" t="str">
        <x:f>IF($S295="","",IFERROR(VLOOKUP($S295,'Data'!$D$2:$G$14,3,FALSE),""))</x:f>
      </x:c>
      <x:c r="H295" s="210" t="str">
        <x:f>IF($G295="","",$G295/'Data'!$O$2/'Data'!$O$3)</x:f>
      </x:c>
      <x:c r="I295" s="211"/>
      <x:c r="J295" s="209" t="str">
        <x:f>IF(OR($E295="",$I295=""),"",$I295*'Data'!$O$2*'Data'!$O$3)</x:f>
      </x:c>
      <x:c r="K295" s="212" t="str">
        <x:f>IF(OR($J295="",$G295=""),"",$J295/$G295)</x:f>
      </x:c>
      <x:c r="L295" s="213" t="str">
        <x:f>IF($K295="","",VLOOKUP($K295,'Data'!$I$2:$L$6,3,TRUE))</x:f>
      </x:c>
      <x:c r="M295" s="210" t="str">
        <x:f>IF($L295="","",$I295*$L295)</x:f>
      </x:c>
      <x:c r="N295" s="214" t="str">
        <x:f>IF($M295="","",ROUNDDOWN($I295+$M295,2))</x:f>
      </x:c>
      <x:c r="O295" s="210" t="str">
        <x:f>IF($N295="","",ROUNDDOWN(ROUNDDOWN($N295,2)*$R295,3))</x:f>
      </x:c>
      <x:c r="P295" s="215"/>
      <x:c r="Q295" s="222" t="str">
        <x:f>IF($E295="","",IF(OR(RIGHT(UPPER(TRIM(SUBSTITUTE(CLEAN($E295),CHAR(160)," "))),2)="P1",RIGHT(UPPER(TRIM(SUBSTITUTE(CLEAN($E295),CHAR(160)," "))),2)="P2",RIGHT(UPPER(TRIM(SUBSTITUTE(CLEAN($E295),CHAR(160)," "))),2)="P3",RIGHT(UPPER(TRIM(SUBSTITUTE(CLEAN($E295),CHAR(160)," "))),2)="P4",ISNUMBER(SEARCH("INDUSTRIAL HYGIENIST 1 ENVIRONMENT",UPPER(TRIM(SUBSTITUTE(CLEAN($E295),CHAR(160)," ")))))),"PS","GS"))</x:f>
      </x:c>
      <x:c r="R295" s="223" t="str">
        <x:f>IF($Q295="","",IF($Q295="PS",'Data'!$O$5,'Data'!$O$4))</x:f>
      </x:c>
      <x:c r="S295" s="224" t="str">
        <x:f>IF($E295="","",IFERROR(VLOOKUP($E295,'Data'!$A$2:$B$114,2,FALSE),""))</x:f>
      </x:c>
      <x:c r="T295" s="217" t="str">
        <x:f>IF($K295="","",VLOOKUP($K295,'Data'!$I$2:$L$6,2,TRUE))</x:f>
      </x:c>
      <x:c r="U295" s="217"/>
      <x:c r="V295" s="221" t="str">
        <x:f>IF($L295="","",$J295*$L295)</x:f>
      </x:c>
      <x:c r="W295" s="221" t="str">
        <x:f>IF($V295="","",$J295+$V295)</x:f>
      </x:c>
      <x:c r="X295" s="217" t="str">
        <x:f>IF($Y295="Ready","Review and inform supplier","")</x:f>
      </x:c>
      <x:c r="Y295" s="217" t="str">
        <x:f>IF(AND($B295="",$E295="",$I295=""),"",IF($B295="","Missing Assignment Number",IF($E295="","Select Job Title",IF($I295="","Enter Pay Rate",IF($S295="","Job Title not found","Ready")))))</x:f>
      </x:c>
    </x:row>
    <x:row r="296" ht="22" customHeight="1">
      <x:c r="A296" s="205"/>
      <x:c r="B296" s="205"/>
      <x:c r="C296" s="206"/>
      <x:c r="D296" s="205"/>
      <x:c r="E296" s="207"/>
      <x:c r="F296" s="208"/>
      <x:c r="G296" s="209" t="str">
        <x:f>IF($S296="","",IFERROR(VLOOKUP($S296,'Data'!$D$2:$G$14,3,FALSE),""))</x:f>
      </x:c>
      <x:c r="H296" s="210" t="str">
        <x:f>IF($G296="","",$G296/'Data'!$O$2/'Data'!$O$3)</x:f>
      </x:c>
      <x:c r="I296" s="211"/>
      <x:c r="J296" s="209" t="str">
        <x:f>IF(OR($E296="",$I296=""),"",$I296*'Data'!$O$2*'Data'!$O$3)</x:f>
      </x:c>
      <x:c r="K296" s="212" t="str">
        <x:f>IF(OR($J296="",$G296=""),"",$J296/$G296)</x:f>
      </x:c>
      <x:c r="L296" s="213" t="str">
        <x:f>IF($K296="","",VLOOKUP($K296,'Data'!$I$2:$L$6,3,TRUE))</x:f>
      </x:c>
      <x:c r="M296" s="210" t="str">
        <x:f>IF($L296="","",$I296*$L296)</x:f>
      </x:c>
      <x:c r="N296" s="214" t="str">
        <x:f>IF($M296="","",ROUNDDOWN($I296+$M296,2))</x:f>
      </x:c>
      <x:c r="O296" s="210" t="str">
        <x:f>IF($N296="","",ROUNDDOWN(ROUNDDOWN($N296,2)*$R296,3))</x:f>
      </x:c>
      <x:c r="P296" s="215"/>
      <x:c r="Q296" s="222" t="str">
        <x:f>IF($E296="","",IF(OR(RIGHT(UPPER(TRIM(SUBSTITUTE(CLEAN($E296),CHAR(160)," "))),2)="P1",RIGHT(UPPER(TRIM(SUBSTITUTE(CLEAN($E296),CHAR(160)," "))),2)="P2",RIGHT(UPPER(TRIM(SUBSTITUTE(CLEAN($E296),CHAR(160)," "))),2)="P3",RIGHT(UPPER(TRIM(SUBSTITUTE(CLEAN($E296),CHAR(160)," "))),2)="P4",ISNUMBER(SEARCH("INDUSTRIAL HYGIENIST 1 ENVIRONMENT",UPPER(TRIM(SUBSTITUTE(CLEAN($E296),CHAR(160)," ")))))),"PS","GS"))</x:f>
      </x:c>
      <x:c r="R296" s="223" t="str">
        <x:f>IF($Q296="","",IF($Q296="PS",'Data'!$O$5,'Data'!$O$4))</x:f>
      </x:c>
      <x:c r="S296" s="224" t="str">
        <x:f>IF($E296="","",IFERROR(VLOOKUP($E296,'Data'!$A$2:$B$114,2,FALSE),""))</x:f>
      </x:c>
      <x:c r="T296" s="217" t="str">
        <x:f>IF($K296="","",VLOOKUP($K296,'Data'!$I$2:$L$6,2,TRUE))</x:f>
      </x:c>
      <x:c r="U296" s="217"/>
      <x:c r="V296" s="221" t="str">
        <x:f>IF($L296="","",$J296*$L296)</x:f>
      </x:c>
      <x:c r="W296" s="221" t="str">
        <x:f>IF($V296="","",$J296+$V296)</x:f>
      </x:c>
      <x:c r="X296" s="217" t="str">
        <x:f>IF($Y296="Ready","Review and inform supplier","")</x:f>
      </x:c>
      <x:c r="Y296" s="217" t="str">
        <x:f>IF(AND($B296="",$E296="",$I296=""),"",IF($B296="","Missing Assignment Number",IF($E296="","Select Job Title",IF($I296="","Enter Pay Rate",IF($S296="","Job Title not found","Ready")))))</x:f>
      </x:c>
    </x:row>
    <x:row r="297" ht="22" customHeight="1">
      <x:c r="A297" s="205"/>
      <x:c r="B297" s="205"/>
      <x:c r="C297" s="206"/>
      <x:c r="D297" s="205"/>
      <x:c r="E297" s="207"/>
      <x:c r="F297" s="208"/>
      <x:c r="G297" s="209" t="str">
        <x:f>IF($S297="","",IFERROR(VLOOKUP($S297,'Data'!$D$2:$G$14,3,FALSE),""))</x:f>
      </x:c>
      <x:c r="H297" s="210" t="str">
        <x:f>IF($G297="","",$G297/'Data'!$O$2/'Data'!$O$3)</x:f>
      </x:c>
      <x:c r="I297" s="211"/>
      <x:c r="J297" s="209" t="str">
        <x:f>IF(OR($E297="",$I297=""),"",$I297*'Data'!$O$2*'Data'!$O$3)</x:f>
      </x:c>
      <x:c r="K297" s="212" t="str">
        <x:f>IF(OR($J297="",$G297=""),"",$J297/$G297)</x:f>
      </x:c>
      <x:c r="L297" s="213" t="str">
        <x:f>IF($K297="","",VLOOKUP($K297,'Data'!$I$2:$L$6,3,TRUE))</x:f>
      </x:c>
      <x:c r="M297" s="210" t="str">
        <x:f>IF($L297="","",$I297*$L297)</x:f>
      </x:c>
      <x:c r="N297" s="214" t="str">
        <x:f>IF($M297="","",ROUNDDOWN($I297+$M297,2))</x:f>
      </x:c>
      <x:c r="O297" s="210" t="str">
        <x:f>IF($N297="","",ROUNDDOWN(ROUNDDOWN($N297,2)*$R297,3))</x:f>
      </x:c>
      <x:c r="P297" s="215"/>
      <x:c r="Q297" s="222" t="str">
        <x:f>IF($E297="","",IF(OR(RIGHT(UPPER(TRIM(SUBSTITUTE(CLEAN($E297),CHAR(160)," "))),2)="P1",RIGHT(UPPER(TRIM(SUBSTITUTE(CLEAN($E297),CHAR(160)," "))),2)="P2",RIGHT(UPPER(TRIM(SUBSTITUTE(CLEAN($E297),CHAR(160)," "))),2)="P3",RIGHT(UPPER(TRIM(SUBSTITUTE(CLEAN($E297),CHAR(160)," "))),2)="P4",ISNUMBER(SEARCH("INDUSTRIAL HYGIENIST 1 ENVIRONMENT",UPPER(TRIM(SUBSTITUTE(CLEAN($E297),CHAR(160)," ")))))),"PS","GS"))</x:f>
      </x:c>
      <x:c r="R297" s="223" t="str">
        <x:f>IF($Q297="","",IF($Q297="PS",'Data'!$O$5,'Data'!$O$4))</x:f>
      </x:c>
      <x:c r="S297" s="224" t="str">
        <x:f>IF($E297="","",IFERROR(VLOOKUP($E297,'Data'!$A$2:$B$114,2,FALSE),""))</x:f>
      </x:c>
      <x:c r="T297" s="217" t="str">
        <x:f>IF($K297="","",VLOOKUP($K297,'Data'!$I$2:$L$6,2,TRUE))</x:f>
      </x:c>
      <x:c r="U297" s="217"/>
      <x:c r="V297" s="221" t="str">
        <x:f>IF($L297="","",$J297*$L297)</x:f>
      </x:c>
      <x:c r="W297" s="221" t="str">
        <x:f>IF($V297="","",$J297+$V297)</x:f>
      </x:c>
      <x:c r="X297" s="217" t="str">
        <x:f>IF($Y297="Ready","Review and inform supplier","")</x:f>
      </x:c>
      <x:c r="Y297" s="217" t="str">
        <x:f>IF(AND($B297="",$E297="",$I297=""),"",IF($B297="","Missing Assignment Number",IF($E297="","Select Job Title",IF($I297="","Enter Pay Rate",IF($S297="","Job Title not found","Ready")))))</x:f>
      </x:c>
    </x:row>
    <x:row r="298" ht="22" customHeight="1">
      <x:c r="A298" s="205"/>
      <x:c r="B298" s="205"/>
      <x:c r="C298" s="206"/>
      <x:c r="D298" s="205"/>
      <x:c r="E298" s="207"/>
      <x:c r="F298" s="208"/>
      <x:c r="G298" s="209" t="str">
        <x:f>IF($S298="","",IFERROR(VLOOKUP($S298,'Data'!$D$2:$G$14,3,FALSE),""))</x:f>
      </x:c>
      <x:c r="H298" s="210" t="str">
        <x:f>IF($G298="","",$G298/'Data'!$O$2/'Data'!$O$3)</x:f>
      </x:c>
      <x:c r="I298" s="211"/>
      <x:c r="J298" s="209" t="str">
        <x:f>IF(OR($E298="",$I298=""),"",$I298*'Data'!$O$2*'Data'!$O$3)</x:f>
      </x:c>
      <x:c r="K298" s="212" t="str">
        <x:f>IF(OR($J298="",$G298=""),"",$J298/$G298)</x:f>
      </x:c>
      <x:c r="L298" s="213" t="str">
        <x:f>IF($K298="","",VLOOKUP($K298,'Data'!$I$2:$L$6,3,TRUE))</x:f>
      </x:c>
      <x:c r="M298" s="210" t="str">
        <x:f>IF($L298="","",$I298*$L298)</x:f>
      </x:c>
      <x:c r="N298" s="214" t="str">
        <x:f>IF($M298="","",ROUNDDOWN($I298+$M298,2))</x:f>
      </x:c>
      <x:c r="O298" s="210" t="str">
        <x:f>IF($N298="","",ROUNDDOWN(ROUNDDOWN($N298,2)*$R298,3))</x:f>
      </x:c>
      <x:c r="P298" s="215"/>
      <x:c r="Q298" s="222" t="str">
        <x:f>IF($E298="","",IF(OR(RIGHT(UPPER(TRIM(SUBSTITUTE(CLEAN($E298),CHAR(160)," "))),2)="P1",RIGHT(UPPER(TRIM(SUBSTITUTE(CLEAN($E298),CHAR(160)," "))),2)="P2",RIGHT(UPPER(TRIM(SUBSTITUTE(CLEAN($E298),CHAR(160)," "))),2)="P3",RIGHT(UPPER(TRIM(SUBSTITUTE(CLEAN($E298),CHAR(160)," "))),2)="P4",ISNUMBER(SEARCH("INDUSTRIAL HYGIENIST 1 ENVIRONMENT",UPPER(TRIM(SUBSTITUTE(CLEAN($E298),CHAR(160)," ")))))),"PS","GS"))</x:f>
      </x:c>
      <x:c r="R298" s="223" t="str">
        <x:f>IF($Q298="","",IF($Q298="PS",'Data'!$O$5,'Data'!$O$4))</x:f>
      </x:c>
      <x:c r="S298" s="224" t="str">
        <x:f>IF($E298="","",IFERROR(VLOOKUP($E298,'Data'!$A$2:$B$114,2,FALSE),""))</x:f>
      </x:c>
      <x:c r="T298" s="217" t="str">
        <x:f>IF($K298="","",VLOOKUP($K298,'Data'!$I$2:$L$6,2,TRUE))</x:f>
      </x:c>
      <x:c r="U298" s="217"/>
      <x:c r="V298" s="221" t="str">
        <x:f>IF($L298="","",$J298*$L298)</x:f>
      </x:c>
      <x:c r="W298" s="221" t="str">
        <x:f>IF($V298="","",$J298+$V298)</x:f>
      </x:c>
      <x:c r="X298" s="217" t="str">
        <x:f>IF($Y298="Ready","Review and inform supplier","")</x:f>
      </x:c>
      <x:c r="Y298" s="217" t="str">
        <x:f>IF(AND($B298="",$E298="",$I298=""),"",IF($B298="","Missing Assignment Number",IF($E298="","Select Job Title",IF($I298="","Enter Pay Rate",IF($S298="","Job Title not found","Ready")))))</x:f>
      </x:c>
    </x:row>
    <x:row r="299" ht="22" customHeight="1">
      <x:c r="A299" s="205"/>
      <x:c r="B299" s="205"/>
      <x:c r="C299" s="206"/>
      <x:c r="D299" s="205"/>
      <x:c r="E299" s="207"/>
      <x:c r="F299" s="208"/>
      <x:c r="G299" s="209" t="str">
        <x:f>IF($S299="","",IFERROR(VLOOKUP($S299,'Data'!$D$2:$G$14,3,FALSE),""))</x:f>
      </x:c>
      <x:c r="H299" s="210" t="str">
        <x:f>IF($G299="","",$G299/'Data'!$O$2/'Data'!$O$3)</x:f>
      </x:c>
      <x:c r="I299" s="211"/>
      <x:c r="J299" s="209" t="str">
        <x:f>IF(OR($E299="",$I299=""),"",$I299*'Data'!$O$2*'Data'!$O$3)</x:f>
      </x:c>
      <x:c r="K299" s="212" t="str">
        <x:f>IF(OR($J299="",$G299=""),"",$J299/$G299)</x:f>
      </x:c>
      <x:c r="L299" s="213" t="str">
        <x:f>IF($K299="","",VLOOKUP($K299,'Data'!$I$2:$L$6,3,TRUE))</x:f>
      </x:c>
      <x:c r="M299" s="210" t="str">
        <x:f>IF($L299="","",$I299*$L299)</x:f>
      </x:c>
      <x:c r="N299" s="214" t="str">
        <x:f>IF($M299="","",ROUNDDOWN($I299+$M299,2))</x:f>
      </x:c>
      <x:c r="O299" s="210" t="str">
        <x:f>IF($N299="","",ROUNDDOWN(ROUNDDOWN($N299,2)*$R299,3))</x:f>
      </x:c>
      <x:c r="P299" s="215"/>
      <x:c r="Q299" s="222" t="str">
        <x:f>IF($E299="","",IF(OR(RIGHT(UPPER(TRIM(SUBSTITUTE(CLEAN($E299),CHAR(160)," "))),2)="P1",RIGHT(UPPER(TRIM(SUBSTITUTE(CLEAN($E299),CHAR(160)," "))),2)="P2",RIGHT(UPPER(TRIM(SUBSTITUTE(CLEAN($E299),CHAR(160)," "))),2)="P3",RIGHT(UPPER(TRIM(SUBSTITUTE(CLEAN($E299),CHAR(160)," "))),2)="P4",ISNUMBER(SEARCH("INDUSTRIAL HYGIENIST 1 ENVIRONMENT",UPPER(TRIM(SUBSTITUTE(CLEAN($E299),CHAR(160)," ")))))),"PS","GS"))</x:f>
      </x:c>
      <x:c r="R299" s="223" t="str">
        <x:f>IF($Q299="","",IF($Q299="PS",'Data'!$O$5,'Data'!$O$4))</x:f>
      </x:c>
      <x:c r="S299" s="224" t="str">
        <x:f>IF($E299="","",IFERROR(VLOOKUP($E299,'Data'!$A$2:$B$114,2,FALSE),""))</x:f>
      </x:c>
      <x:c r="T299" s="217" t="str">
        <x:f>IF($K299="","",VLOOKUP($K299,'Data'!$I$2:$L$6,2,TRUE))</x:f>
      </x:c>
      <x:c r="U299" s="217"/>
      <x:c r="V299" s="221" t="str">
        <x:f>IF($L299="","",$J299*$L299)</x:f>
      </x:c>
      <x:c r="W299" s="221" t="str">
        <x:f>IF($V299="","",$J299+$V299)</x:f>
      </x:c>
      <x:c r="X299" s="217" t="str">
        <x:f>IF($Y299="Ready","Review and inform supplier","")</x:f>
      </x:c>
      <x:c r="Y299" s="217" t="str">
        <x:f>IF(AND($B299="",$E299="",$I299=""),"",IF($B299="","Missing Assignment Number",IF($E299="","Select Job Title",IF($I299="","Enter Pay Rate",IF($S299="","Job Title not found","Ready")))))</x:f>
      </x:c>
    </x:row>
    <x:row r="300" ht="22" customHeight="1">
      <x:c r="A300" s="205"/>
      <x:c r="B300" s="205"/>
      <x:c r="C300" s="206"/>
      <x:c r="D300" s="205"/>
      <x:c r="E300" s="207"/>
      <x:c r="F300" s="208"/>
      <x:c r="G300" s="209" t="str">
        <x:f>IF($S300="","",IFERROR(VLOOKUP($S300,'Data'!$D$2:$G$14,3,FALSE),""))</x:f>
      </x:c>
      <x:c r="H300" s="210" t="str">
        <x:f>IF($G300="","",$G300/'Data'!$O$2/'Data'!$O$3)</x:f>
      </x:c>
      <x:c r="I300" s="211"/>
      <x:c r="J300" s="209" t="str">
        <x:f>IF(OR($E300="",$I300=""),"",$I300*'Data'!$O$2*'Data'!$O$3)</x:f>
      </x:c>
      <x:c r="K300" s="212" t="str">
        <x:f>IF(OR($J300="",$G300=""),"",$J300/$G300)</x:f>
      </x:c>
      <x:c r="L300" s="213" t="str">
        <x:f>IF($K300="","",VLOOKUP($K300,'Data'!$I$2:$L$6,3,TRUE))</x:f>
      </x:c>
      <x:c r="M300" s="210" t="str">
        <x:f>IF($L300="","",$I300*$L300)</x:f>
      </x:c>
      <x:c r="N300" s="214" t="str">
        <x:f>IF($M300="","",ROUNDDOWN($I300+$M300,2))</x:f>
      </x:c>
      <x:c r="O300" s="210" t="str">
        <x:f>IF($N300="","",ROUNDDOWN(ROUNDDOWN($N300,2)*$R300,3))</x:f>
      </x:c>
      <x:c r="P300" s="215"/>
      <x:c r="Q300" s="222" t="str">
        <x:f>IF($E300="","",IF(OR(RIGHT(UPPER(TRIM(SUBSTITUTE(CLEAN($E300),CHAR(160)," "))),2)="P1",RIGHT(UPPER(TRIM(SUBSTITUTE(CLEAN($E300),CHAR(160)," "))),2)="P2",RIGHT(UPPER(TRIM(SUBSTITUTE(CLEAN($E300),CHAR(160)," "))),2)="P3",RIGHT(UPPER(TRIM(SUBSTITUTE(CLEAN($E300),CHAR(160)," "))),2)="P4",ISNUMBER(SEARCH("INDUSTRIAL HYGIENIST 1 ENVIRONMENT",UPPER(TRIM(SUBSTITUTE(CLEAN($E300),CHAR(160)," ")))))),"PS","GS"))</x:f>
      </x:c>
      <x:c r="R300" s="223" t="str">
        <x:f>IF($Q300="","",IF($Q300="PS",'Data'!$O$5,'Data'!$O$4))</x:f>
      </x:c>
      <x:c r="S300" s="224" t="str">
        <x:f>IF($E300="","",IFERROR(VLOOKUP($E300,'Data'!$A$2:$B$114,2,FALSE),""))</x:f>
      </x:c>
      <x:c r="T300" s="217" t="str">
        <x:f>IF($K300="","",VLOOKUP($K300,'Data'!$I$2:$L$6,2,TRUE))</x:f>
      </x:c>
      <x:c r="U300" s="217"/>
      <x:c r="V300" s="221" t="str">
        <x:f>IF($L300="","",$J300*$L300)</x:f>
      </x:c>
      <x:c r="W300" s="221" t="str">
        <x:f>IF($V300="","",$J300+$V300)</x:f>
      </x:c>
      <x:c r="X300" s="217" t="str">
        <x:f>IF($Y300="Ready","Review and inform supplier","")</x:f>
      </x:c>
      <x:c r="Y300" s="217" t="str">
        <x:f>IF(AND($B300="",$E300="",$I300=""),"",IF($B300="","Missing Assignment Number",IF($E300="","Select Job Title",IF($I300="","Enter Pay Rate",IF($S300="","Job Title not found","Ready")))))</x:f>
      </x:c>
    </x:row>
    <x:row r="301" ht="22" customHeight="1">
      <x:c r="A301" s="205"/>
      <x:c r="B301" s="205"/>
      <x:c r="C301" s="206"/>
      <x:c r="D301" s="205"/>
      <x:c r="E301" s="207"/>
      <x:c r="F301" s="208"/>
      <x:c r="G301" s="209" t="str">
        <x:f>IF($S301="","",IFERROR(VLOOKUP($S301,'Data'!$D$2:$G$14,3,FALSE),""))</x:f>
      </x:c>
      <x:c r="H301" s="210" t="str">
        <x:f>IF($G301="","",$G301/'Data'!$O$2/'Data'!$O$3)</x:f>
      </x:c>
      <x:c r="I301" s="211"/>
      <x:c r="J301" s="209" t="str">
        <x:f>IF(OR($E301="",$I301=""),"",$I301*'Data'!$O$2*'Data'!$O$3)</x:f>
      </x:c>
      <x:c r="K301" s="212" t="str">
        <x:f>IF(OR($J301="",$G301=""),"",$J301/$G301)</x:f>
      </x:c>
      <x:c r="L301" s="213" t="str">
        <x:f>IF($K301="","",VLOOKUP($K301,'Data'!$I$2:$L$6,3,TRUE))</x:f>
      </x:c>
      <x:c r="M301" s="210" t="str">
        <x:f>IF($L301="","",$I301*$L301)</x:f>
      </x:c>
      <x:c r="N301" s="214" t="str">
        <x:f>IF($M301="","",ROUNDDOWN($I301+$M301,2))</x:f>
      </x:c>
      <x:c r="O301" s="210" t="str">
        <x:f>IF($N301="","",ROUNDDOWN(ROUNDDOWN($N301,2)*$R301,3))</x:f>
      </x:c>
      <x:c r="P301" s="215"/>
      <x:c r="Q301" s="222" t="str">
        <x:f>IF($E301="","",IF(OR(RIGHT(UPPER(TRIM(SUBSTITUTE(CLEAN($E301),CHAR(160)," "))),2)="P1",RIGHT(UPPER(TRIM(SUBSTITUTE(CLEAN($E301),CHAR(160)," "))),2)="P2",RIGHT(UPPER(TRIM(SUBSTITUTE(CLEAN($E301),CHAR(160)," "))),2)="P3",RIGHT(UPPER(TRIM(SUBSTITUTE(CLEAN($E301),CHAR(160)," "))),2)="P4",ISNUMBER(SEARCH("INDUSTRIAL HYGIENIST 1 ENVIRONMENT",UPPER(TRIM(SUBSTITUTE(CLEAN($E301),CHAR(160)," ")))))),"PS","GS"))</x:f>
      </x:c>
      <x:c r="R301" s="223" t="str">
        <x:f>IF($Q301="","",IF($Q301="PS",'Data'!$O$5,'Data'!$O$4))</x:f>
      </x:c>
      <x:c r="S301" s="224" t="str">
        <x:f>IF($E301="","",IFERROR(VLOOKUP($E301,'Data'!$A$2:$B$114,2,FALSE),""))</x:f>
      </x:c>
      <x:c r="T301" s="217" t="str">
        <x:f>IF($K301="","",VLOOKUP($K301,'Data'!$I$2:$L$6,2,TRUE))</x:f>
      </x:c>
      <x:c r="U301" s="217"/>
      <x:c r="V301" s="221" t="str">
        <x:f>IF($L301="","",$J301*$L301)</x:f>
      </x:c>
      <x:c r="W301" s="221" t="str">
        <x:f>IF($V301="","",$J301+$V301)</x:f>
      </x:c>
      <x:c r="X301" s="217" t="str">
        <x:f>IF($Y301="Ready","Review and inform supplier","")</x:f>
      </x:c>
      <x:c r="Y301" s="217" t="str">
        <x:f>IF(AND($B301="",$E301="",$I301=""),"",IF($B301="","Missing Assignment Number",IF($E301="","Select Job Title",IF($I301="","Enter Pay Rate",IF($S301="","Job Title not found","Ready")))))</x:f>
      </x:c>
    </x:row>
    <x:row r="302" ht="22" customHeight="1">
      <x:c r="A302" s="205"/>
      <x:c r="B302" s="205"/>
      <x:c r="C302" s="206"/>
      <x:c r="D302" s="205"/>
      <x:c r="E302" s="207"/>
      <x:c r="F302" s="208"/>
      <x:c r="G302" s="209" t="str">
        <x:f>IF($S302="","",IFERROR(VLOOKUP($S302,'Data'!$D$2:$G$14,3,FALSE),""))</x:f>
      </x:c>
      <x:c r="H302" s="210" t="str">
        <x:f>IF($G302="","",$G302/'Data'!$O$2/'Data'!$O$3)</x:f>
      </x:c>
      <x:c r="I302" s="211"/>
      <x:c r="J302" s="209" t="str">
        <x:f>IF(OR($E302="",$I302=""),"",$I302*'Data'!$O$2*'Data'!$O$3)</x:f>
      </x:c>
      <x:c r="K302" s="212" t="str">
        <x:f>IF(OR($J302="",$G302=""),"",$J302/$G302)</x:f>
      </x:c>
      <x:c r="L302" s="213" t="str">
        <x:f>IF($K302="","",VLOOKUP($K302,'Data'!$I$2:$L$6,3,TRUE))</x:f>
      </x:c>
      <x:c r="M302" s="210" t="str">
        <x:f>IF($L302="","",$I302*$L302)</x:f>
      </x:c>
      <x:c r="N302" s="214" t="str">
        <x:f>IF($M302="","",ROUNDDOWN($I302+$M302,2))</x:f>
      </x:c>
      <x:c r="O302" s="210" t="str">
        <x:f>IF($N302="","",ROUNDDOWN(ROUNDDOWN($N302,2)*$R302,3))</x:f>
      </x:c>
      <x:c r="P302" s="215"/>
      <x:c r="Q302" s="222" t="str">
        <x:f>IF($E302="","",IF(OR(RIGHT(UPPER(TRIM(SUBSTITUTE(CLEAN($E302),CHAR(160)," "))),2)="P1",RIGHT(UPPER(TRIM(SUBSTITUTE(CLEAN($E302),CHAR(160)," "))),2)="P2",RIGHT(UPPER(TRIM(SUBSTITUTE(CLEAN($E302),CHAR(160)," "))),2)="P3",RIGHT(UPPER(TRIM(SUBSTITUTE(CLEAN($E302),CHAR(160)," "))),2)="P4",ISNUMBER(SEARCH("INDUSTRIAL HYGIENIST 1 ENVIRONMENT",UPPER(TRIM(SUBSTITUTE(CLEAN($E302),CHAR(160)," ")))))),"PS","GS"))</x:f>
      </x:c>
      <x:c r="R302" s="223" t="str">
        <x:f>IF($Q302="","",IF($Q302="PS",'Data'!$O$5,'Data'!$O$4))</x:f>
      </x:c>
      <x:c r="S302" s="224" t="str">
        <x:f>IF($E302="","",IFERROR(VLOOKUP($E302,'Data'!$A$2:$B$114,2,FALSE),""))</x:f>
      </x:c>
      <x:c r="T302" s="217" t="str">
        <x:f>IF($K302="","",VLOOKUP($K302,'Data'!$I$2:$L$6,2,TRUE))</x:f>
      </x:c>
      <x:c r="U302" s="217"/>
      <x:c r="V302" s="221" t="str">
        <x:f>IF($L302="","",$J302*$L302)</x:f>
      </x:c>
      <x:c r="W302" s="221" t="str">
        <x:f>IF($V302="","",$J302+$V302)</x:f>
      </x:c>
      <x:c r="X302" s="217" t="str">
        <x:f>IF($Y302="Ready","Review and inform supplier","")</x:f>
      </x:c>
      <x:c r="Y302" s="217" t="str">
        <x:f>IF(AND($B302="",$E302="",$I302=""),"",IF($B302="","Missing Assignment Number",IF($E302="","Select Job Title",IF($I302="","Enter Pay Rate",IF($S302="","Job Title not found","Ready")))))</x:f>
      </x:c>
    </x:row>
    <x:row r="303" ht="22" customHeight="1">
      <x:c r="A303" s="205"/>
      <x:c r="B303" s="205"/>
      <x:c r="C303" s="206"/>
      <x:c r="D303" s="205"/>
      <x:c r="E303" s="207"/>
      <x:c r="F303" s="208"/>
      <x:c r="G303" s="209" t="str">
        <x:f>IF($S303="","",IFERROR(VLOOKUP($S303,'Data'!$D$2:$G$14,3,FALSE),""))</x:f>
      </x:c>
      <x:c r="H303" s="210" t="str">
        <x:f>IF($G303="","",$G303/'Data'!$O$2/'Data'!$O$3)</x:f>
      </x:c>
      <x:c r="I303" s="211"/>
      <x:c r="J303" s="209" t="str">
        <x:f>IF(OR($E303="",$I303=""),"",$I303*'Data'!$O$2*'Data'!$O$3)</x:f>
      </x:c>
      <x:c r="K303" s="212" t="str">
        <x:f>IF(OR($J303="",$G303=""),"",$J303/$G303)</x:f>
      </x:c>
      <x:c r="L303" s="213" t="str">
        <x:f>IF($K303="","",VLOOKUP($K303,'Data'!$I$2:$L$6,3,TRUE))</x:f>
      </x:c>
      <x:c r="M303" s="210" t="str">
        <x:f>IF($L303="","",$I303*$L303)</x:f>
      </x:c>
      <x:c r="N303" s="214" t="str">
        <x:f>IF($M303="","",ROUNDDOWN($I303+$M303,2))</x:f>
      </x:c>
      <x:c r="O303" s="210" t="str">
        <x:f>IF($N303="","",ROUNDDOWN(ROUNDDOWN($N303,2)*$R303,3))</x:f>
      </x:c>
      <x:c r="P303" s="215"/>
      <x:c r="Q303" s="222" t="str">
        <x:f>IF($E303="","",IF(OR(RIGHT(UPPER(TRIM(SUBSTITUTE(CLEAN($E303),CHAR(160)," "))),2)="P1",RIGHT(UPPER(TRIM(SUBSTITUTE(CLEAN($E303),CHAR(160)," "))),2)="P2",RIGHT(UPPER(TRIM(SUBSTITUTE(CLEAN($E303),CHAR(160)," "))),2)="P3",RIGHT(UPPER(TRIM(SUBSTITUTE(CLEAN($E303),CHAR(160)," "))),2)="P4",ISNUMBER(SEARCH("INDUSTRIAL HYGIENIST 1 ENVIRONMENT",UPPER(TRIM(SUBSTITUTE(CLEAN($E303),CHAR(160)," ")))))),"PS","GS"))</x:f>
      </x:c>
      <x:c r="R303" s="223" t="str">
        <x:f>IF($Q303="","",IF($Q303="PS",'Data'!$O$5,'Data'!$O$4))</x:f>
      </x:c>
      <x:c r="S303" s="224" t="str">
        <x:f>IF($E303="","",IFERROR(VLOOKUP($E303,'Data'!$A$2:$B$114,2,FALSE),""))</x:f>
      </x:c>
      <x:c r="T303" s="217" t="str">
        <x:f>IF($K303="","",VLOOKUP($K303,'Data'!$I$2:$L$6,2,TRUE))</x:f>
      </x:c>
      <x:c r="U303" s="217"/>
      <x:c r="V303" s="221" t="str">
        <x:f>IF($L303="","",$J303*$L303)</x:f>
      </x:c>
      <x:c r="W303" s="221" t="str">
        <x:f>IF($V303="","",$J303+$V303)</x:f>
      </x:c>
      <x:c r="X303" s="217" t="str">
        <x:f>IF($Y303="Ready","Review and inform supplier","")</x:f>
      </x:c>
      <x:c r="Y303" s="217" t="str">
        <x:f>IF(AND($B303="",$E303="",$I303=""),"",IF($B303="","Missing Assignment Number",IF($E303="","Select Job Title",IF($I303="","Enter Pay Rate",IF($S303="","Job Title not found","Ready")))))</x:f>
      </x:c>
    </x:row>
    <x:row r="304" ht="22" customHeight="1">
      <x:c r="A304" s="205"/>
      <x:c r="B304" s="205"/>
      <x:c r="C304" s="206"/>
      <x:c r="D304" s="205"/>
      <x:c r="E304" s="207"/>
      <x:c r="F304" s="208"/>
      <x:c r="G304" s="209" t="str">
        <x:f>IF($S304="","",IFERROR(VLOOKUP($S304,'Data'!$D$2:$G$14,3,FALSE),""))</x:f>
      </x:c>
      <x:c r="H304" s="210" t="str">
        <x:f>IF($G304="","",$G304/'Data'!$O$2/'Data'!$O$3)</x:f>
      </x:c>
      <x:c r="I304" s="211"/>
      <x:c r="J304" s="209" t="str">
        <x:f>IF(OR($E304="",$I304=""),"",$I304*'Data'!$O$2*'Data'!$O$3)</x:f>
      </x:c>
      <x:c r="K304" s="212" t="str">
        <x:f>IF(OR($J304="",$G304=""),"",$J304/$G304)</x:f>
      </x:c>
      <x:c r="L304" s="213" t="str">
        <x:f>IF($K304="","",VLOOKUP($K304,'Data'!$I$2:$L$6,3,TRUE))</x:f>
      </x:c>
      <x:c r="M304" s="210" t="str">
        <x:f>IF($L304="","",$I304*$L304)</x:f>
      </x:c>
      <x:c r="N304" s="214" t="str">
        <x:f>IF($M304="","",ROUNDDOWN($I304+$M304,2))</x:f>
      </x:c>
      <x:c r="O304" s="210" t="str">
        <x:f>IF($N304="","",ROUNDDOWN(ROUNDDOWN($N304,2)*$R304,3))</x:f>
      </x:c>
      <x:c r="P304" s="215"/>
      <x:c r="Q304" s="222" t="str">
        <x:f>IF($E304="","",IF(OR(RIGHT(UPPER(TRIM(SUBSTITUTE(CLEAN($E304),CHAR(160)," "))),2)="P1",RIGHT(UPPER(TRIM(SUBSTITUTE(CLEAN($E304),CHAR(160)," "))),2)="P2",RIGHT(UPPER(TRIM(SUBSTITUTE(CLEAN($E304),CHAR(160)," "))),2)="P3",RIGHT(UPPER(TRIM(SUBSTITUTE(CLEAN($E304),CHAR(160)," "))),2)="P4",ISNUMBER(SEARCH("INDUSTRIAL HYGIENIST 1 ENVIRONMENT",UPPER(TRIM(SUBSTITUTE(CLEAN($E304),CHAR(160)," ")))))),"PS","GS"))</x:f>
      </x:c>
      <x:c r="R304" s="223" t="str">
        <x:f>IF($Q304="","",IF($Q304="PS",'Data'!$O$5,'Data'!$O$4))</x:f>
      </x:c>
      <x:c r="S304" s="224" t="str">
        <x:f>IF($E304="","",IFERROR(VLOOKUP($E304,'Data'!$A$2:$B$114,2,FALSE),""))</x:f>
      </x:c>
      <x:c r="T304" s="217" t="str">
        <x:f>IF($K304="","",VLOOKUP($K304,'Data'!$I$2:$L$6,2,TRUE))</x:f>
      </x:c>
      <x:c r="U304" s="217"/>
      <x:c r="V304" s="221" t="str">
        <x:f>IF($L304="","",$J304*$L304)</x:f>
      </x:c>
      <x:c r="W304" s="221" t="str">
        <x:f>IF($V304="","",$J304+$V304)</x:f>
      </x:c>
      <x:c r="X304" s="217" t="str">
        <x:f>IF($Y304="Ready","Review and inform supplier","")</x:f>
      </x:c>
      <x:c r="Y304" s="217" t="str">
        <x:f>IF(AND($B304="",$E304="",$I304=""),"",IF($B304="","Missing Assignment Number",IF($E304="","Select Job Title",IF($I304="","Enter Pay Rate",IF($S304="","Job Title not found","Ready")))))</x:f>
      </x:c>
    </x:row>
    <x:row r="305" ht="22" customHeight="1">
      <x:c r="A305" s="205"/>
      <x:c r="B305" s="205"/>
      <x:c r="C305" s="206"/>
      <x:c r="D305" s="205"/>
      <x:c r="E305" s="207"/>
      <x:c r="F305" s="208"/>
      <x:c r="G305" s="209" t="str">
        <x:f>IF($S305="","",IFERROR(VLOOKUP($S305,'Data'!$D$2:$G$14,3,FALSE),""))</x:f>
      </x:c>
      <x:c r="H305" s="210" t="str">
        <x:f>IF($G305="","",$G305/'Data'!$O$2/'Data'!$O$3)</x:f>
      </x:c>
      <x:c r="I305" s="211"/>
      <x:c r="J305" s="209" t="str">
        <x:f>IF(OR($E305="",$I305=""),"",$I305*'Data'!$O$2*'Data'!$O$3)</x:f>
      </x:c>
      <x:c r="K305" s="212" t="str">
        <x:f>IF(OR($J305="",$G305=""),"",$J305/$G305)</x:f>
      </x:c>
      <x:c r="L305" s="213" t="str">
        <x:f>IF($K305="","",VLOOKUP($K305,'Data'!$I$2:$L$6,3,TRUE))</x:f>
      </x:c>
      <x:c r="M305" s="210" t="str">
        <x:f>IF($L305="","",$I305*$L305)</x:f>
      </x:c>
      <x:c r="N305" s="214" t="str">
        <x:f>IF($M305="","",ROUNDDOWN($I305+$M305,2))</x:f>
      </x:c>
      <x:c r="O305" s="210" t="str">
        <x:f>IF($N305="","",ROUNDDOWN(ROUNDDOWN($N305,2)*$R305,3))</x:f>
      </x:c>
      <x:c r="P305" s="215"/>
      <x:c r="Q305" s="222" t="str">
        <x:f>IF($E305="","",IF(OR(RIGHT(UPPER(TRIM(SUBSTITUTE(CLEAN($E305),CHAR(160)," "))),2)="P1",RIGHT(UPPER(TRIM(SUBSTITUTE(CLEAN($E305),CHAR(160)," "))),2)="P2",RIGHT(UPPER(TRIM(SUBSTITUTE(CLEAN($E305),CHAR(160)," "))),2)="P3",RIGHT(UPPER(TRIM(SUBSTITUTE(CLEAN($E305),CHAR(160)," "))),2)="P4",ISNUMBER(SEARCH("INDUSTRIAL HYGIENIST 1 ENVIRONMENT",UPPER(TRIM(SUBSTITUTE(CLEAN($E305),CHAR(160)," ")))))),"PS","GS"))</x:f>
      </x:c>
      <x:c r="R305" s="223" t="str">
        <x:f>IF($Q305="","",IF($Q305="PS",'Data'!$O$5,'Data'!$O$4))</x:f>
      </x:c>
      <x:c r="S305" s="224" t="str">
        <x:f>IF($E305="","",IFERROR(VLOOKUP($E305,'Data'!$A$2:$B$114,2,FALSE),""))</x:f>
      </x:c>
      <x:c r="T305" s="217" t="str">
        <x:f>IF($K305="","",VLOOKUP($K305,'Data'!$I$2:$L$6,2,TRUE))</x:f>
      </x:c>
      <x:c r="U305" s="217"/>
      <x:c r="V305" s="221" t="str">
        <x:f>IF($L305="","",$J305*$L305)</x:f>
      </x:c>
      <x:c r="W305" s="221" t="str">
        <x:f>IF($V305="","",$J305+$V305)</x:f>
      </x:c>
      <x:c r="X305" s="217" t="str">
        <x:f>IF($Y305="Ready","Review and inform supplier","")</x:f>
      </x:c>
      <x:c r="Y305" s="217" t="str">
        <x:f>IF(AND($B305="",$E305="",$I305=""),"",IF($B305="","Missing Assignment Number",IF($E305="","Select Job Title",IF($I305="","Enter Pay Rate",IF($S305="","Job Title not found","Ready")))))</x:f>
      </x:c>
    </x:row>
    <x:row r="306" ht="22" customHeight="1">
      <x:c r="A306" s="205"/>
      <x:c r="B306" s="205"/>
      <x:c r="C306" s="206"/>
      <x:c r="D306" s="205"/>
      <x:c r="E306" s="207"/>
      <x:c r="F306" s="208"/>
      <x:c r="G306" s="209" t="str">
        <x:f>IF($S306="","",IFERROR(VLOOKUP($S306,'Data'!$D$2:$G$14,3,FALSE),""))</x:f>
      </x:c>
      <x:c r="H306" s="210" t="str">
        <x:f>IF($G306="","",$G306/'Data'!$O$2/'Data'!$O$3)</x:f>
      </x:c>
      <x:c r="I306" s="211"/>
      <x:c r="J306" s="209" t="str">
        <x:f>IF(OR($E306="",$I306=""),"",$I306*'Data'!$O$2*'Data'!$O$3)</x:f>
      </x:c>
      <x:c r="K306" s="212" t="str">
        <x:f>IF(OR($J306="",$G306=""),"",$J306/$G306)</x:f>
      </x:c>
      <x:c r="L306" s="213" t="str">
        <x:f>IF($K306="","",VLOOKUP($K306,'Data'!$I$2:$L$6,3,TRUE))</x:f>
      </x:c>
      <x:c r="M306" s="210" t="str">
        <x:f>IF($L306="","",$I306*$L306)</x:f>
      </x:c>
      <x:c r="N306" s="214" t="str">
        <x:f>IF($M306="","",ROUNDDOWN($I306+$M306,2))</x:f>
      </x:c>
      <x:c r="O306" s="210" t="str">
        <x:f>IF($N306="","",ROUNDDOWN(ROUNDDOWN($N306,2)*$R306,3))</x:f>
      </x:c>
      <x:c r="P306" s="215"/>
      <x:c r="Q306" s="222" t="str">
        <x:f>IF($E306="","",IF(OR(RIGHT(UPPER(TRIM(SUBSTITUTE(CLEAN($E306),CHAR(160)," "))),2)="P1",RIGHT(UPPER(TRIM(SUBSTITUTE(CLEAN($E306),CHAR(160)," "))),2)="P2",RIGHT(UPPER(TRIM(SUBSTITUTE(CLEAN($E306),CHAR(160)," "))),2)="P3",RIGHT(UPPER(TRIM(SUBSTITUTE(CLEAN($E306),CHAR(160)," "))),2)="P4",ISNUMBER(SEARCH("INDUSTRIAL HYGIENIST 1 ENVIRONMENT",UPPER(TRIM(SUBSTITUTE(CLEAN($E306),CHAR(160)," ")))))),"PS","GS"))</x:f>
      </x:c>
      <x:c r="R306" s="223" t="str">
        <x:f>IF($Q306="","",IF($Q306="PS",'Data'!$O$5,'Data'!$O$4))</x:f>
      </x:c>
      <x:c r="S306" s="224" t="str">
        <x:f>IF($E306="","",IFERROR(VLOOKUP($E306,'Data'!$A$2:$B$114,2,FALSE),""))</x:f>
      </x:c>
      <x:c r="T306" s="217" t="str">
        <x:f>IF($K306="","",VLOOKUP($K306,'Data'!$I$2:$L$6,2,TRUE))</x:f>
      </x:c>
      <x:c r="U306" s="217"/>
      <x:c r="V306" s="221" t="str">
        <x:f>IF($L306="","",$J306*$L306)</x:f>
      </x:c>
      <x:c r="W306" s="221" t="str">
        <x:f>IF($V306="","",$J306+$V306)</x:f>
      </x:c>
      <x:c r="X306" s="217" t="str">
        <x:f>IF($Y306="Ready","Review and inform supplier","")</x:f>
      </x:c>
      <x:c r="Y306" s="217" t="str">
        <x:f>IF(AND($B306="",$E306="",$I306=""),"",IF($B306="","Missing Assignment Number",IF($E306="","Select Job Title",IF($I306="","Enter Pay Rate",IF($S306="","Job Title not found","Ready")))))</x:f>
      </x:c>
    </x:row>
    <x:row r="307" ht="22" customHeight="1">
      <x:c r="A307" s="205"/>
      <x:c r="B307" s="205"/>
      <x:c r="C307" s="206"/>
      <x:c r="D307" s="205"/>
      <x:c r="E307" s="207"/>
      <x:c r="F307" s="208"/>
      <x:c r="G307" s="209" t="str">
        <x:f>IF($S307="","",IFERROR(VLOOKUP($S307,'Data'!$D$2:$G$14,3,FALSE),""))</x:f>
      </x:c>
      <x:c r="H307" s="210" t="str">
        <x:f>IF($G307="","",$G307/'Data'!$O$2/'Data'!$O$3)</x:f>
      </x:c>
      <x:c r="I307" s="211"/>
      <x:c r="J307" s="209" t="str">
        <x:f>IF(OR($E307="",$I307=""),"",$I307*'Data'!$O$2*'Data'!$O$3)</x:f>
      </x:c>
      <x:c r="K307" s="212" t="str">
        <x:f>IF(OR($J307="",$G307=""),"",$J307/$G307)</x:f>
      </x:c>
      <x:c r="L307" s="213" t="str">
        <x:f>IF($K307="","",VLOOKUP($K307,'Data'!$I$2:$L$6,3,TRUE))</x:f>
      </x:c>
      <x:c r="M307" s="210" t="str">
        <x:f>IF($L307="","",$I307*$L307)</x:f>
      </x:c>
      <x:c r="N307" s="214" t="str">
        <x:f>IF($M307="","",ROUNDDOWN($I307+$M307,2))</x:f>
      </x:c>
      <x:c r="O307" s="210" t="str">
        <x:f>IF($N307="","",ROUNDDOWN(ROUNDDOWN($N307,2)*$R307,3))</x:f>
      </x:c>
      <x:c r="P307" s="215"/>
      <x:c r="Q307" s="222" t="str">
        <x:f>IF($E307="","",IF(OR(RIGHT(UPPER(TRIM(SUBSTITUTE(CLEAN($E307),CHAR(160)," "))),2)="P1",RIGHT(UPPER(TRIM(SUBSTITUTE(CLEAN($E307),CHAR(160)," "))),2)="P2",RIGHT(UPPER(TRIM(SUBSTITUTE(CLEAN($E307),CHAR(160)," "))),2)="P3",RIGHT(UPPER(TRIM(SUBSTITUTE(CLEAN($E307),CHAR(160)," "))),2)="P4",ISNUMBER(SEARCH("INDUSTRIAL HYGIENIST 1 ENVIRONMENT",UPPER(TRIM(SUBSTITUTE(CLEAN($E307),CHAR(160)," ")))))),"PS","GS"))</x:f>
      </x:c>
      <x:c r="R307" s="223" t="str">
        <x:f>IF($Q307="","",IF($Q307="PS",'Data'!$O$5,'Data'!$O$4))</x:f>
      </x:c>
      <x:c r="S307" s="224" t="str">
        <x:f>IF($E307="","",IFERROR(VLOOKUP($E307,'Data'!$A$2:$B$114,2,FALSE),""))</x:f>
      </x:c>
      <x:c r="T307" s="217" t="str">
        <x:f>IF($K307="","",VLOOKUP($K307,'Data'!$I$2:$L$6,2,TRUE))</x:f>
      </x:c>
      <x:c r="U307" s="217"/>
      <x:c r="V307" s="221" t="str">
        <x:f>IF($L307="","",$J307*$L307)</x:f>
      </x:c>
      <x:c r="W307" s="221" t="str">
        <x:f>IF($V307="","",$J307+$V307)</x:f>
      </x:c>
      <x:c r="X307" s="217" t="str">
        <x:f>IF($Y307="Ready","Review and inform supplier","")</x:f>
      </x:c>
      <x:c r="Y307" s="217" t="str">
        <x:f>IF(AND($B307="",$E307="",$I307=""),"",IF($B307="","Missing Assignment Number",IF($E307="","Select Job Title",IF($I307="","Enter Pay Rate",IF($S307="","Job Title not found","Ready")))))</x:f>
      </x:c>
    </x:row>
    <x:row r="308" ht="22" customHeight="1">
      <x:c r="A308" s="205"/>
      <x:c r="B308" s="205"/>
      <x:c r="C308" s="206"/>
      <x:c r="D308" s="205"/>
      <x:c r="E308" s="207"/>
      <x:c r="F308" s="208"/>
      <x:c r="G308" s="209" t="str">
        <x:f>IF($S308="","",IFERROR(VLOOKUP($S308,'Data'!$D$2:$G$14,3,FALSE),""))</x:f>
      </x:c>
      <x:c r="H308" s="210" t="str">
        <x:f>IF($G308="","",$G308/'Data'!$O$2/'Data'!$O$3)</x:f>
      </x:c>
      <x:c r="I308" s="211"/>
      <x:c r="J308" s="209" t="str">
        <x:f>IF(OR($E308="",$I308=""),"",$I308*'Data'!$O$2*'Data'!$O$3)</x:f>
      </x:c>
      <x:c r="K308" s="212" t="str">
        <x:f>IF(OR($J308="",$G308=""),"",$J308/$G308)</x:f>
      </x:c>
      <x:c r="L308" s="213" t="str">
        <x:f>IF($K308="","",VLOOKUP($K308,'Data'!$I$2:$L$6,3,TRUE))</x:f>
      </x:c>
      <x:c r="M308" s="210" t="str">
        <x:f>IF($L308="","",$I308*$L308)</x:f>
      </x:c>
      <x:c r="N308" s="214" t="str">
        <x:f>IF($M308="","",ROUNDDOWN($I308+$M308,2))</x:f>
      </x:c>
      <x:c r="O308" s="210" t="str">
        <x:f>IF($N308="","",ROUNDDOWN(ROUNDDOWN($N308,2)*$R308,3))</x:f>
      </x:c>
      <x:c r="P308" s="215"/>
      <x:c r="Q308" s="222" t="str">
        <x:f>IF($E308="","",IF(OR(RIGHT(UPPER(TRIM(SUBSTITUTE(CLEAN($E308),CHAR(160)," "))),2)="P1",RIGHT(UPPER(TRIM(SUBSTITUTE(CLEAN($E308),CHAR(160)," "))),2)="P2",RIGHT(UPPER(TRIM(SUBSTITUTE(CLEAN($E308),CHAR(160)," "))),2)="P3",RIGHT(UPPER(TRIM(SUBSTITUTE(CLEAN($E308),CHAR(160)," "))),2)="P4",ISNUMBER(SEARCH("INDUSTRIAL HYGIENIST 1 ENVIRONMENT",UPPER(TRIM(SUBSTITUTE(CLEAN($E308),CHAR(160)," ")))))),"PS","GS"))</x:f>
      </x:c>
      <x:c r="R308" s="223" t="str">
        <x:f>IF($Q308="","",IF($Q308="PS",'Data'!$O$5,'Data'!$O$4))</x:f>
      </x:c>
      <x:c r="S308" s="224" t="str">
        <x:f>IF($E308="","",IFERROR(VLOOKUP($E308,'Data'!$A$2:$B$114,2,FALSE),""))</x:f>
      </x:c>
      <x:c r="T308" s="217" t="str">
        <x:f>IF($K308="","",VLOOKUP($K308,'Data'!$I$2:$L$6,2,TRUE))</x:f>
      </x:c>
      <x:c r="U308" s="217"/>
      <x:c r="V308" s="221" t="str">
        <x:f>IF($L308="","",$J308*$L308)</x:f>
      </x:c>
      <x:c r="W308" s="221" t="str">
        <x:f>IF($V308="","",$J308+$V308)</x:f>
      </x:c>
      <x:c r="X308" s="217" t="str">
        <x:f>IF($Y308="Ready","Review and inform supplier","")</x:f>
      </x:c>
      <x:c r="Y308" s="217" t="str">
        <x:f>IF(AND($B308="",$E308="",$I308=""),"",IF($B308="","Missing Assignment Number",IF($E308="","Select Job Title",IF($I308="","Enter Pay Rate",IF($S308="","Job Title not found","Ready")))))</x:f>
      </x:c>
    </x:row>
    <x:row r="309" ht="22" customHeight="1">
      <x:c r="A309" s="205"/>
      <x:c r="B309" s="205"/>
      <x:c r="C309" s="206"/>
      <x:c r="D309" s="205"/>
      <x:c r="E309" s="207"/>
      <x:c r="F309" s="208"/>
      <x:c r="G309" s="209" t="str">
        <x:f>IF($S309="","",IFERROR(VLOOKUP($S309,'Data'!$D$2:$G$14,3,FALSE),""))</x:f>
      </x:c>
      <x:c r="H309" s="210" t="str">
        <x:f>IF($G309="","",$G309/'Data'!$O$2/'Data'!$O$3)</x:f>
      </x:c>
      <x:c r="I309" s="211"/>
      <x:c r="J309" s="209" t="str">
        <x:f>IF(OR($E309="",$I309=""),"",$I309*'Data'!$O$2*'Data'!$O$3)</x:f>
      </x:c>
      <x:c r="K309" s="212" t="str">
        <x:f>IF(OR($J309="",$G309=""),"",$J309/$G309)</x:f>
      </x:c>
      <x:c r="L309" s="213" t="str">
        <x:f>IF($K309="","",VLOOKUP($K309,'Data'!$I$2:$L$6,3,TRUE))</x:f>
      </x:c>
      <x:c r="M309" s="210" t="str">
        <x:f>IF($L309="","",$I309*$L309)</x:f>
      </x:c>
      <x:c r="N309" s="214" t="str">
        <x:f>IF($M309="","",ROUNDDOWN($I309+$M309,2))</x:f>
      </x:c>
      <x:c r="O309" s="210" t="str">
        <x:f>IF($N309="","",ROUNDDOWN(ROUNDDOWN($N309,2)*$R309,3))</x:f>
      </x:c>
      <x:c r="P309" s="215"/>
      <x:c r="Q309" s="222" t="str">
        <x:f>IF($E309="","",IF(OR(RIGHT(UPPER(TRIM(SUBSTITUTE(CLEAN($E309),CHAR(160)," "))),2)="P1",RIGHT(UPPER(TRIM(SUBSTITUTE(CLEAN($E309),CHAR(160)," "))),2)="P2",RIGHT(UPPER(TRIM(SUBSTITUTE(CLEAN($E309),CHAR(160)," "))),2)="P3",RIGHT(UPPER(TRIM(SUBSTITUTE(CLEAN($E309),CHAR(160)," "))),2)="P4",ISNUMBER(SEARCH("INDUSTRIAL HYGIENIST 1 ENVIRONMENT",UPPER(TRIM(SUBSTITUTE(CLEAN($E309),CHAR(160)," ")))))),"PS","GS"))</x:f>
      </x:c>
      <x:c r="R309" s="223" t="str">
        <x:f>IF($Q309="","",IF($Q309="PS",'Data'!$O$5,'Data'!$O$4))</x:f>
      </x:c>
      <x:c r="S309" s="224" t="str">
        <x:f>IF($E309="","",IFERROR(VLOOKUP($E309,'Data'!$A$2:$B$114,2,FALSE),""))</x:f>
      </x:c>
      <x:c r="T309" s="217" t="str">
        <x:f>IF($K309="","",VLOOKUP($K309,'Data'!$I$2:$L$6,2,TRUE))</x:f>
      </x:c>
      <x:c r="U309" s="217"/>
      <x:c r="V309" s="221" t="str">
        <x:f>IF($L309="","",$J309*$L309)</x:f>
      </x:c>
      <x:c r="W309" s="221" t="str">
        <x:f>IF($V309="","",$J309+$V309)</x:f>
      </x:c>
      <x:c r="X309" s="217" t="str">
        <x:f>IF($Y309="Ready","Review and inform supplier","")</x:f>
      </x:c>
      <x:c r="Y309" s="217" t="str">
        <x:f>IF(AND($B309="",$E309="",$I309=""),"",IF($B309="","Missing Assignment Number",IF($E309="","Select Job Title",IF($I309="","Enter Pay Rate",IF($S309="","Job Title not found","Ready")))))</x:f>
      </x:c>
    </x:row>
    <x:row r="310" ht="22" customHeight="1">
      <x:c r="A310" s="205"/>
      <x:c r="B310" s="205"/>
      <x:c r="C310" s="206"/>
      <x:c r="D310" s="205"/>
      <x:c r="E310" s="207"/>
      <x:c r="F310" s="208"/>
      <x:c r="G310" s="209" t="str">
        <x:f>IF($S310="","",IFERROR(VLOOKUP($S310,'Data'!$D$2:$G$14,3,FALSE),""))</x:f>
      </x:c>
      <x:c r="H310" s="210" t="str">
        <x:f>IF($G310="","",$G310/'Data'!$O$2/'Data'!$O$3)</x:f>
      </x:c>
      <x:c r="I310" s="211"/>
      <x:c r="J310" s="209" t="str">
        <x:f>IF(OR($E310="",$I310=""),"",$I310*'Data'!$O$2*'Data'!$O$3)</x:f>
      </x:c>
      <x:c r="K310" s="212" t="str">
        <x:f>IF(OR($J310="",$G310=""),"",$J310/$G310)</x:f>
      </x:c>
      <x:c r="L310" s="213" t="str">
        <x:f>IF($K310="","",VLOOKUP($K310,'Data'!$I$2:$L$6,3,TRUE))</x:f>
      </x:c>
      <x:c r="M310" s="210" t="str">
        <x:f>IF($L310="","",$I310*$L310)</x:f>
      </x:c>
      <x:c r="N310" s="214" t="str">
        <x:f>IF($M310="","",ROUNDDOWN($I310+$M310,2))</x:f>
      </x:c>
      <x:c r="O310" s="210" t="str">
        <x:f>IF($N310="","",ROUNDDOWN(ROUNDDOWN($N310,2)*$R310,3))</x:f>
      </x:c>
      <x:c r="P310" s="215"/>
      <x:c r="Q310" s="222" t="str">
        <x:f>IF($E310="","",IF(OR(RIGHT(UPPER(TRIM(SUBSTITUTE(CLEAN($E310),CHAR(160)," "))),2)="P1",RIGHT(UPPER(TRIM(SUBSTITUTE(CLEAN($E310),CHAR(160)," "))),2)="P2",RIGHT(UPPER(TRIM(SUBSTITUTE(CLEAN($E310),CHAR(160)," "))),2)="P3",RIGHT(UPPER(TRIM(SUBSTITUTE(CLEAN($E310),CHAR(160)," "))),2)="P4",ISNUMBER(SEARCH("INDUSTRIAL HYGIENIST 1 ENVIRONMENT",UPPER(TRIM(SUBSTITUTE(CLEAN($E310),CHAR(160)," ")))))),"PS","GS"))</x:f>
      </x:c>
      <x:c r="R310" s="223" t="str">
        <x:f>IF($Q310="","",IF($Q310="PS",'Data'!$O$5,'Data'!$O$4))</x:f>
      </x:c>
      <x:c r="S310" s="224" t="str">
        <x:f>IF($E310="","",IFERROR(VLOOKUP($E310,'Data'!$A$2:$B$114,2,FALSE),""))</x:f>
      </x:c>
      <x:c r="T310" s="217" t="str">
        <x:f>IF($K310="","",VLOOKUP($K310,'Data'!$I$2:$L$6,2,TRUE))</x:f>
      </x:c>
      <x:c r="U310" s="217"/>
      <x:c r="V310" s="221" t="str">
        <x:f>IF($L310="","",$J310*$L310)</x:f>
      </x:c>
      <x:c r="W310" s="221" t="str">
        <x:f>IF($V310="","",$J310+$V310)</x:f>
      </x:c>
      <x:c r="X310" s="217" t="str">
        <x:f>IF($Y310="Ready","Review and inform supplier","")</x:f>
      </x:c>
      <x:c r="Y310" s="217" t="str">
        <x:f>IF(AND($B310="",$E310="",$I310=""),"",IF($B310="","Missing Assignment Number",IF($E310="","Select Job Title",IF($I310="","Enter Pay Rate",IF($S310="","Job Title not found","Ready")))))</x:f>
      </x:c>
    </x:row>
    <x:row r="311" ht="22" customHeight="1">
      <x:c r="A311" s="205"/>
      <x:c r="B311" s="205"/>
      <x:c r="C311" s="206"/>
      <x:c r="D311" s="205"/>
      <x:c r="E311" s="207"/>
      <x:c r="F311" s="208"/>
      <x:c r="G311" s="209" t="str">
        <x:f>IF($S311="","",IFERROR(VLOOKUP($S311,'Data'!$D$2:$G$14,3,FALSE),""))</x:f>
      </x:c>
      <x:c r="H311" s="210" t="str">
        <x:f>IF($G311="","",$G311/'Data'!$O$2/'Data'!$O$3)</x:f>
      </x:c>
      <x:c r="I311" s="211"/>
      <x:c r="J311" s="209" t="str">
        <x:f>IF(OR($E311="",$I311=""),"",$I311*'Data'!$O$2*'Data'!$O$3)</x:f>
      </x:c>
      <x:c r="K311" s="212" t="str">
        <x:f>IF(OR($J311="",$G311=""),"",$J311/$G311)</x:f>
      </x:c>
      <x:c r="L311" s="213" t="str">
        <x:f>IF($K311="","",VLOOKUP($K311,'Data'!$I$2:$L$6,3,TRUE))</x:f>
      </x:c>
      <x:c r="M311" s="210" t="str">
        <x:f>IF($L311="","",$I311*$L311)</x:f>
      </x:c>
      <x:c r="N311" s="214" t="str">
        <x:f>IF($M311="","",ROUNDDOWN($I311+$M311,2))</x:f>
      </x:c>
      <x:c r="O311" s="210" t="str">
        <x:f>IF($N311="","",ROUNDDOWN(ROUNDDOWN($N311,2)*$R311,3))</x:f>
      </x:c>
      <x:c r="P311" s="215"/>
      <x:c r="Q311" s="222" t="str">
        <x:f>IF($E311="","",IF(OR(RIGHT(UPPER(TRIM(SUBSTITUTE(CLEAN($E311),CHAR(160)," "))),2)="P1",RIGHT(UPPER(TRIM(SUBSTITUTE(CLEAN($E311),CHAR(160)," "))),2)="P2",RIGHT(UPPER(TRIM(SUBSTITUTE(CLEAN($E311),CHAR(160)," "))),2)="P3",RIGHT(UPPER(TRIM(SUBSTITUTE(CLEAN($E311),CHAR(160)," "))),2)="P4",ISNUMBER(SEARCH("INDUSTRIAL HYGIENIST 1 ENVIRONMENT",UPPER(TRIM(SUBSTITUTE(CLEAN($E311),CHAR(160)," ")))))),"PS","GS"))</x:f>
      </x:c>
      <x:c r="R311" s="223" t="str">
        <x:f>IF($Q311="","",IF($Q311="PS",'Data'!$O$5,'Data'!$O$4))</x:f>
      </x:c>
      <x:c r="S311" s="224" t="str">
        <x:f>IF($E311="","",IFERROR(VLOOKUP($E311,'Data'!$A$2:$B$114,2,FALSE),""))</x:f>
      </x:c>
      <x:c r="T311" s="217" t="str">
        <x:f>IF($K311="","",VLOOKUP($K311,'Data'!$I$2:$L$6,2,TRUE))</x:f>
      </x:c>
      <x:c r="U311" s="217"/>
      <x:c r="V311" s="221" t="str">
        <x:f>IF($L311="","",$J311*$L311)</x:f>
      </x:c>
      <x:c r="W311" s="221" t="str">
        <x:f>IF($V311="","",$J311+$V311)</x:f>
      </x:c>
      <x:c r="X311" s="217" t="str">
        <x:f>IF($Y311="Ready","Review and inform supplier","")</x:f>
      </x:c>
      <x:c r="Y311" s="217" t="str">
        <x:f>IF(AND($B311="",$E311="",$I311=""),"",IF($B311="","Missing Assignment Number",IF($E311="","Select Job Title",IF($I311="","Enter Pay Rate",IF($S311="","Job Title not found","Ready")))))</x:f>
      </x:c>
    </x:row>
    <x:row r="312" ht="22" customHeight="1">
      <x:c r="A312" s="205"/>
      <x:c r="B312" s="205"/>
      <x:c r="C312" s="206"/>
      <x:c r="D312" s="205"/>
      <x:c r="E312" s="207"/>
      <x:c r="F312" s="208"/>
      <x:c r="G312" s="209" t="str">
        <x:f>IF($S312="","",IFERROR(VLOOKUP($S312,'Data'!$D$2:$G$14,3,FALSE),""))</x:f>
      </x:c>
      <x:c r="H312" s="210" t="str">
        <x:f>IF($G312="","",$G312/'Data'!$O$2/'Data'!$O$3)</x:f>
      </x:c>
      <x:c r="I312" s="211"/>
      <x:c r="J312" s="209" t="str">
        <x:f>IF(OR($E312="",$I312=""),"",$I312*'Data'!$O$2*'Data'!$O$3)</x:f>
      </x:c>
      <x:c r="K312" s="212" t="str">
        <x:f>IF(OR($J312="",$G312=""),"",$J312/$G312)</x:f>
      </x:c>
      <x:c r="L312" s="213" t="str">
        <x:f>IF($K312="","",VLOOKUP($K312,'Data'!$I$2:$L$6,3,TRUE))</x:f>
      </x:c>
      <x:c r="M312" s="210" t="str">
        <x:f>IF($L312="","",$I312*$L312)</x:f>
      </x:c>
      <x:c r="N312" s="214" t="str">
        <x:f>IF($M312="","",ROUNDDOWN($I312+$M312,2))</x:f>
      </x:c>
      <x:c r="O312" s="210" t="str">
        <x:f>IF($N312="","",ROUNDDOWN(ROUNDDOWN($N312,2)*$R312,3))</x:f>
      </x:c>
      <x:c r="P312" s="215"/>
      <x:c r="Q312" s="222" t="str">
        <x:f>IF($E312="","",IF(OR(RIGHT(UPPER(TRIM(SUBSTITUTE(CLEAN($E312),CHAR(160)," "))),2)="P1",RIGHT(UPPER(TRIM(SUBSTITUTE(CLEAN($E312),CHAR(160)," "))),2)="P2",RIGHT(UPPER(TRIM(SUBSTITUTE(CLEAN($E312),CHAR(160)," "))),2)="P3",RIGHT(UPPER(TRIM(SUBSTITUTE(CLEAN($E312),CHAR(160)," "))),2)="P4",ISNUMBER(SEARCH("INDUSTRIAL HYGIENIST 1 ENVIRONMENT",UPPER(TRIM(SUBSTITUTE(CLEAN($E312),CHAR(160)," ")))))),"PS","GS"))</x:f>
      </x:c>
      <x:c r="R312" s="223" t="str">
        <x:f>IF($Q312="","",IF($Q312="PS",'Data'!$O$5,'Data'!$O$4))</x:f>
      </x:c>
      <x:c r="S312" s="224" t="str">
        <x:f>IF($E312="","",IFERROR(VLOOKUP($E312,'Data'!$A$2:$B$114,2,FALSE),""))</x:f>
      </x:c>
      <x:c r="T312" s="217" t="str">
        <x:f>IF($K312="","",VLOOKUP($K312,'Data'!$I$2:$L$6,2,TRUE))</x:f>
      </x:c>
      <x:c r="U312" s="217"/>
      <x:c r="V312" s="221" t="str">
        <x:f>IF($L312="","",$J312*$L312)</x:f>
      </x:c>
      <x:c r="W312" s="221" t="str">
        <x:f>IF($V312="","",$J312+$V312)</x:f>
      </x:c>
      <x:c r="X312" s="217" t="str">
        <x:f>IF($Y312="Ready","Review and inform supplier","")</x:f>
      </x:c>
      <x:c r="Y312" s="217" t="str">
        <x:f>IF(AND($B312="",$E312="",$I312=""),"",IF($B312="","Missing Assignment Number",IF($E312="","Select Job Title",IF($I312="","Enter Pay Rate",IF($S312="","Job Title not found","Ready")))))</x:f>
      </x:c>
    </x:row>
    <x:row r="313" ht="22" customHeight="1">
      <x:c r="A313" s="205"/>
      <x:c r="B313" s="205"/>
      <x:c r="C313" s="206"/>
      <x:c r="D313" s="205"/>
      <x:c r="E313" s="207"/>
      <x:c r="F313" s="208"/>
      <x:c r="G313" s="209" t="str">
        <x:f>IF($S313="","",IFERROR(VLOOKUP($S313,'Data'!$D$2:$G$14,3,FALSE),""))</x:f>
      </x:c>
      <x:c r="H313" s="210" t="str">
        <x:f>IF($G313="","",$G313/'Data'!$O$2/'Data'!$O$3)</x:f>
      </x:c>
      <x:c r="I313" s="211"/>
      <x:c r="J313" s="209" t="str">
        <x:f>IF(OR($E313="",$I313=""),"",$I313*'Data'!$O$2*'Data'!$O$3)</x:f>
      </x:c>
      <x:c r="K313" s="212" t="str">
        <x:f>IF(OR($J313="",$G313=""),"",$J313/$G313)</x:f>
      </x:c>
      <x:c r="L313" s="213" t="str">
        <x:f>IF($K313="","",VLOOKUP($K313,'Data'!$I$2:$L$6,3,TRUE))</x:f>
      </x:c>
      <x:c r="M313" s="210" t="str">
        <x:f>IF($L313="","",$I313*$L313)</x:f>
      </x:c>
      <x:c r="N313" s="214" t="str">
        <x:f>IF($M313="","",ROUNDDOWN($I313+$M313,2))</x:f>
      </x:c>
      <x:c r="O313" s="210" t="str">
        <x:f>IF($N313="","",ROUNDDOWN(ROUNDDOWN($N313,2)*$R313,3))</x:f>
      </x:c>
      <x:c r="P313" s="215"/>
      <x:c r="Q313" s="222" t="str">
        <x:f>IF($E313="","",IF(OR(RIGHT(UPPER(TRIM(SUBSTITUTE(CLEAN($E313),CHAR(160)," "))),2)="P1",RIGHT(UPPER(TRIM(SUBSTITUTE(CLEAN($E313),CHAR(160)," "))),2)="P2",RIGHT(UPPER(TRIM(SUBSTITUTE(CLEAN($E313),CHAR(160)," "))),2)="P3",RIGHT(UPPER(TRIM(SUBSTITUTE(CLEAN($E313),CHAR(160)," "))),2)="P4",ISNUMBER(SEARCH("INDUSTRIAL HYGIENIST 1 ENVIRONMENT",UPPER(TRIM(SUBSTITUTE(CLEAN($E313),CHAR(160)," ")))))),"PS","GS"))</x:f>
      </x:c>
      <x:c r="R313" s="223" t="str">
        <x:f>IF($Q313="","",IF($Q313="PS",'Data'!$O$5,'Data'!$O$4))</x:f>
      </x:c>
      <x:c r="S313" s="224" t="str">
        <x:f>IF($E313="","",IFERROR(VLOOKUP($E313,'Data'!$A$2:$B$114,2,FALSE),""))</x:f>
      </x:c>
      <x:c r="T313" s="217" t="str">
        <x:f>IF($K313="","",VLOOKUP($K313,'Data'!$I$2:$L$6,2,TRUE))</x:f>
      </x:c>
      <x:c r="U313" s="217"/>
      <x:c r="V313" s="221" t="str">
        <x:f>IF($L313="","",$J313*$L313)</x:f>
      </x:c>
      <x:c r="W313" s="221" t="str">
        <x:f>IF($V313="","",$J313+$V313)</x:f>
      </x:c>
      <x:c r="X313" s="217" t="str">
        <x:f>IF($Y313="Ready","Review and inform supplier","")</x:f>
      </x:c>
      <x:c r="Y313" s="217" t="str">
        <x:f>IF(AND($B313="",$E313="",$I313=""),"",IF($B313="","Missing Assignment Number",IF($E313="","Select Job Title",IF($I313="","Enter Pay Rate",IF($S313="","Job Title not found","Ready")))))</x:f>
      </x:c>
    </x:row>
    <x:row r="314" ht="22" customHeight="1">
      <x:c r="A314" s="205"/>
      <x:c r="B314" s="205"/>
      <x:c r="C314" s="206"/>
      <x:c r="D314" s="205"/>
      <x:c r="E314" s="207"/>
      <x:c r="F314" s="208"/>
      <x:c r="G314" s="209" t="str">
        <x:f>IF($S314="","",IFERROR(VLOOKUP($S314,'Data'!$D$2:$G$14,3,FALSE),""))</x:f>
      </x:c>
      <x:c r="H314" s="210" t="str">
        <x:f>IF($G314="","",$G314/'Data'!$O$2/'Data'!$O$3)</x:f>
      </x:c>
      <x:c r="I314" s="211"/>
      <x:c r="J314" s="209" t="str">
        <x:f>IF(OR($E314="",$I314=""),"",$I314*'Data'!$O$2*'Data'!$O$3)</x:f>
      </x:c>
      <x:c r="K314" s="212" t="str">
        <x:f>IF(OR($J314="",$G314=""),"",$J314/$G314)</x:f>
      </x:c>
      <x:c r="L314" s="213" t="str">
        <x:f>IF($K314="","",VLOOKUP($K314,'Data'!$I$2:$L$6,3,TRUE))</x:f>
      </x:c>
      <x:c r="M314" s="210" t="str">
        <x:f>IF($L314="","",$I314*$L314)</x:f>
      </x:c>
      <x:c r="N314" s="214" t="str">
        <x:f>IF($M314="","",ROUNDDOWN($I314+$M314,2))</x:f>
      </x:c>
      <x:c r="O314" s="210" t="str">
        <x:f>IF($N314="","",ROUNDDOWN(ROUNDDOWN($N314,2)*$R314,3))</x:f>
      </x:c>
      <x:c r="P314" s="215"/>
      <x:c r="Q314" s="222" t="str">
        <x:f>IF($E314="","",IF(OR(RIGHT(UPPER(TRIM(SUBSTITUTE(CLEAN($E314),CHAR(160)," "))),2)="P1",RIGHT(UPPER(TRIM(SUBSTITUTE(CLEAN($E314),CHAR(160)," "))),2)="P2",RIGHT(UPPER(TRIM(SUBSTITUTE(CLEAN($E314),CHAR(160)," "))),2)="P3",RIGHT(UPPER(TRIM(SUBSTITUTE(CLEAN($E314),CHAR(160)," "))),2)="P4",ISNUMBER(SEARCH("INDUSTRIAL HYGIENIST 1 ENVIRONMENT",UPPER(TRIM(SUBSTITUTE(CLEAN($E314),CHAR(160)," ")))))),"PS","GS"))</x:f>
      </x:c>
      <x:c r="R314" s="223" t="str">
        <x:f>IF($Q314="","",IF($Q314="PS",'Data'!$O$5,'Data'!$O$4))</x:f>
      </x:c>
      <x:c r="S314" s="224" t="str">
        <x:f>IF($E314="","",IFERROR(VLOOKUP($E314,'Data'!$A$2:$B$114,2,FALSE),""))</x:f>
      </x:c>
      <x:c r="T314" s="217" t="str">
        <x:f>IF($K314="","",VLOOKUP($K314,'Data'!$I$2:$L$6,2,TRUE))</x:f>
      </x:c>
      <x:c r="U314" s="217"/>
      <x:c r="V314" s="221" t="str">
        <x:f>IF($L314="","",$J314*$L314)</x:f>
      </x:c>
      <x:c r="W314" s="221" t="str">
        <x:f>IF($V314="","",$J314+$V314)</x:f>
      </x:c>
      <x:c r="X314" s="217" t="str">
        <x:f>IF($Y314="Ready","Review and inform supplier","")</x:f>
      </x:c>
      <x:c r="Y314" s="217" t="str">
        <x:f>IF(AND($B314="",$E314="",$I314=""),"",IF($B314="","Missing Assignment Number",IF($E314="","Select Job Title",IF($I314="","Enter Pay Rate",IF($S314="","Job Title not found","Ready")))))</x:f>
      </x:c>
    </x:row>
    <x:row r="315" ht="22" customHeight="1">
      <x:c r="A315" s="205"/>
      <x:c r="B315" s="205"/>
      <x:c r="C315" s="206"/>
      <x:c r="D315" s="205"/>
      <x:c r="E315" s="207"/>
      <x:c r="F315" s="208"/>
      <x:c r="G315" s="209" t="str">
        <x:f>IF($S315="","",IFERROR(VLOOKUP($S315,'Data'!$D$2:$G$14,3,FALSE),""))</x:f>
      </x:c>
      <x:c r="H315" s="210" t="str">
        <x:f>IF($G315="","",$G315/'Data'!$O$2/'Data'!$O$3)</x:f>
      </x:c>
      <x:c r="I315" s="211"/>
      <x:c r="J315" s="209" t="str">
        <x:f>IF(OR($E315="",$I315=""),"",$I315*'Data'!$O$2*'Data'!$O$3)</x:f>
      </x:c>
      <x:c r="K315" s="212" t="str">
        <x:f>IF(OR($J315="",$G315=""),"",$J315/$G315)</x:f>
      </x:c>
      <x:c r="L315" s="213" t="str">
        <x:f>IF($K315="","",VLOOKUP($K315,'Data'!$I$2:$L$6,3,TRUE))</x:f>
      </x:c>
      <x:c r="M315" s="210" t="str">
        <x:f>IF($L315="","",$I315*$L315)</x:f>
      </x:c>
      <x:c r="N315" s="214" t="str">
        <x:f>IF($M315="","",ROUNDDOWN($I315+$M315,2))</x:f>
      </x:c>
      <x:c r="O315" s="210" t="str">
        <x:f>IF($N315="","",ROUNDDOWN(ROUNDDOWN($N315,2)*$R315,3))</x:f>
      </x:c>
      <x:c r="P315" s="215"/>
      <x:c r="Q315" s="222" t="str">
        <x:f>IF($E315="","",IF(OR(RIGHT(UPPER(TRIM(SUBSTITUTE(CLEAN($E315),CHAR(160)," "))),2)="P1",RIGHT(UPPER(TRIM(SUBSTITUTE(CLEAN($E315),CHAR(160)," "))),2)="P2",RIGHT(UPPER(TRIM(SUBSTITUTE(CLEAN($E315),CHAR(160)," "))),2)="P3",RIGHT(UPPER(TRIM(SUBSTITUTE(CLEAN($E315),CHAR(160)," "))),2)="P4",ISNUMBER(SEARCH("INDUSTRIAL HYGIENIST 1 ENVIRONMENT",UPPER(TRIM(SUBSTITUTE(CLEAN($E315),CHAR(160)," ")))))),"PS","GS"))</x:f>
      </x:c>
      <x:c r="R315" s="223" t="str">
        <x:f>IF($Q315="","",IF($Q315="PS",'Data'!$O$5,'Data'!$O$4))</x:f>
      </x:c>
      <x:c r="S315" s="224" t="str">
        <x:f>IF($E315="","",IFERROR(VLOOKUP($E315,'Data'!$A$2:$B$114,2,FALSE),""))</x:f>
      </x:c>
      <x:c r="T315" s="217" t="str">
        <x:f>IF($K315="","",VLOOKUP($K315,'Data'!$I$2:$L$6,2,TRUE))</x:f>
      </x:c>
      <x:c r="U315" s="217"/>
      <x:c r="V315" s="221" t="str">
        <x:f>IF($L315="","",$J315*$L315)</x:f>
      </x:c>
      <x:c r="W315" s="221" t="str">
        <x:f>IF($V315="","",$J315+$V315)</x:f>
      </x:c>
      <x:c r="X315" s="217" t="str">
        <x:f>IF($Y315="Ready","Review and inform supplier","")</x:f>
      </x:c>
      <x:c r="Y315" s="217" t="str">
        <x:f>IF(AND($B315="",$E315="",$I315=""),"",IF($B315="","Missing Assignment Number",IF($E315="","Select Job Title",IF($I315="","Enter Pay Rate",IF($S315="","Job Title not found","Ready")))))</x:f>
      </x:c>
    </x:row>
    <x:row r="316" ht="22" customHeight="1">
      <x:c r="A316" s="205"/>
      <x:c r="B316" s="205"/>
      <x:c r="C316" s="206"/>
      <x:c r="D316" s="205"/>
      <x:c r="E316" s="207"/>
      <x:c r="F316" s="208"/>
      <x:c r="G316" s="209" t="str">
        <x:f>IF($S316="","",IFERROR(VLOOKUP($S316,'Data'!$D$2:$G$14,3,FALSE),""))</x:f>
      </x:c>
      <x:c r="H316" s="210" t="str">
        <x:f>IF($G316="","",$G316/'Data'!$O$2/'Data'!$O$3)</x:f>
      </x:c>
      <x:c r="I316" s="211"/>
      <x:c r="J316" s="209" t="str">
        <x:f>IF(OR($E316="",$I316=""),"",$I316*'Data'!$O$2*'Data'!$O$3)</x:f>
      </x:c>
      <x:c r="K316" s="212" t="str">
        <x:f>IF(OR($J316="",$G316=""),"",$J316/$G316)</x:f>
      </x:c>
      <x:c r="L316" s="213" t="str">
        <x:f>IF($K316="","",VLOOKUP($K316,'Data'!$I$2:$L$6,3,TRUE))</x:f>
      </x:c>
      <x:c r="M316" s="210" t="str">
        <x:f>IF($L316="","",$I316*$L316)</x:f>
      </x:c>
      <x:c r="N316" s="214" t="str">
        <x:f>IF($M316="","",ROUNDDOWN($I316+$M316,2))</x:f>
      </x:c>
      <x:c r="O316" s="210" t="str">
        <x:f>IF($N316="","",ROUNDDOWN(ROUNDDOWN($N316,2)*$R316,3))</x:f>
      </x:c>
      <x:c r="P316" s="215"/>
      <x:c r="Q316" s="222" t="str">
        <x:f>IF($E316="","",IF(OR(RIGHT(UPPER(TRIM(SUBSTITUTE(CLEAN($E316),CHAR(160)," "))),2)="P1",RIGHT(UPPER(TRIM(SUBSTITUTE(CLEAN($E316),CHAR(160)," "))),2)="P2",RIGHT(UPPER(TRIM(SUBSTITUTE(CLEAN($E316),CHAR(160)," "))),2)="P3",RIGHT(UPPER(TRIM(SUBSTITUTE(CLEAN($E316),CHAR(160)," "))),2)="P4",ISNUMBER(SEARCH("INDUSTRIAL HYGIENIST 1 ENVIRONMENT",UPPER(TRIM(SUBSTITUTE(CLEAN($E316),CHAR(160)," ")))))),"PS","GS"))</x:f>
      </x:c>
      <x:c r="R316" s="223" t="str">
        <x:f>IF($Q316="","",IF($Q316="PS",'Data'!$O$5,'Data'!$O$4))</x:f>
      </x:c>
      <x:c r="S316" s="224" t="str">
        <x:f>IF($E316="","",IFERROR(VLOOKUP($E316,'Data'!$A$2:$B$114,2,FALSE),""))</x:f>
      </x:c>
      <x:c r="T316" s="217" t="str">
        <x:f>IF($K316="","",VLOOKUP($K316,'Data'!$I$2:$L$6,2,TRUE))</x:f>
      </x:c>
      <x:c r="U316" s="217"/>
      <x:c r="V316" s="221" t="str">
        <x:f>IF($L316="","",$J316*$L316)</x:f>
      </x:c>
      <x:c r="W316" s="221" t="str">
        <x:f>IF($V316="","",$J316+$V316)</x:f>
      </x:c>
      <x:c r="X316" s="217" t="str">
        <x:f>IF($Y316="Ready","Review and inform supplier","")</x:f>
      </x:c>
      <x:c r="Y316" s="217" t="str">
        <x:f>IF(AND($B316="",$E316="",$I316=""),"",IF($B316="","Missing Assignment Number",IF($E316="","Select Job Title",IF($I316="","Enter Pay Rate",IF($S316="","Job Title not found","Ready")))))</x:f>
      </x:c>
    </x:row>
    <x:row r="317" ht="22" customHeight="1">
      <x:c r="A317" s="205"/>
      <x:c r="B317" s="205"/>
      <x:c r="C317" s="206"/>
      <x:c r="D317" s="205"/>
      <x:c r="E317" s="207"/>
      <x:c r="F317" s="208"/>
      <x:c r="G317" s="209" t="str">
        <x:f>IF($S317="","",IFERROR(VLOOKUP($S317,'Data'!$D$2:$G$14,3,FALSE),""))</x:f>
      </x:c>
      <x:c r="H317" s="210" t="str">
        <x:f>IF($G317="","",$G317/'Data'!$O$2/'Data'!$O$3)</x:f>
      </x:c>
      <x:c r="I317" s="211"/>
      <x:c r="J317" s="209" t="str">
        <x:f>IF(OR($E317="",$I317=""),"",$I317*'Data'!$O$2*'Data'!$O$3)</x:f>
      </x:c>
      <x:c r="K317" s="212" t="str">
        <x:f>IF(OR($J317="",$G317=""),"",$J317/$G317)</x:f>
      </x:c>
      <x:c r="L317" s="213" t="str">
        <x:f>IF($K317="","",VLOOKUP($K317,'Data'!$I$2:$L$6,3,TRUE))</x:f>
      </x:c>
      <x:c r="M317" s="210" t="str">
        <x:f>IF($L317="","",$I317*$L317)</x:f>
      </x:c>
      <x:c r="N317" s="214" t="str">
        <x:f>IF($M317="","",ROUNDDOWN($I317+$M317,2))</x:f>
      </x:c>
      <x:c r="O317" s="210" t="str">
        <x:f>IF($N317="","",ROUNDDOWN(ROUNDDOWN($N317,2)*$R317,3))</x:f>
      </x:c>
      <x:c r="P317" s="215"/>
      <x:c r="Q317" s="222" t="str">
        <x:f>IF($E317="","",IF(OR(RIGHT(UPPER(TRIM(SUBSTITUTE(CLEAN($E317),CHAR(160)," "))),2)="P1",RIGHT(UPPER(TRIM(SUBSTITUTE(CLEAN($E317),CHAR(160)," "))),2)="P2",RIGHT(UPPER(TRIM(SUBSTITUTE(CLEAN($E317),CHAR(160)," "))),2)="P3",RIGHT(UPPER(TRIM(SUBSTITUTE(CLEAN($E317),CHAR(160)," "))),2)="P4",ISNUMBER(SEARCH("INDUSTRIAL HYGIENIST 1 ENVIRONMENT",UPPER(TRIM(SUBSTITUTE(CLEAN($E317),CHAR(160)," ")))))),"PS","GS"))</x:f>
      </x:c>
      <x:c r="R317" s="223" t="str">
        <x:f>IF($Q317="","",IF($Q317="PS",'Data'!$O$5,'Data'!$O$4))</x:f>
      </x:c>
      <x:c r="S317" s="224" t="str">
        <x:f>IF($E317="","",IFERROR(VLOOKUP($E317,'Data'!$A$2:$B$114,2,FALSE),""))</x:f>
      </x:c>
      <x:c r="T317" s="217" t="str">
        <x:f>IF($K317="","",VLOOKUP($K317,'Data'!$I$2:$L$6,2,TRUE))</x:f>
      </x:c>
      <x:c r="U317" s="217"/>
      <x:c r="V317" s="221" t="str">
        <x:f>IF($L317="","",$J317*$L317)</x:f>
      </x:c>
      <x:c r="W317" s="221" t="str">
        <x:f>IF($V317="","",$J317+$V317)</x:f>
      </x:c>
      <x:c r="X317" s="217" t="str">
        <x:f>IF($Y317="Ready","Review and inform supplier","")</x:f>
      </x:c>
      <x:c r="Y317" s="217" t="str">
        <x:f>IF(AND($B317="",$E317="",$I317=""),"",IF($B317="","Missing Assignment Number",IF($E317="","Select Job Title",IF($I317="","Enter Pay Rate",IF($S317="","Job Title not found","Ready")))))</x:f>
      </x:c>
    </x:row>
    <x:row r="318" ht="22" customHeight="1">
      <x:c r="A318" s="205"/>
      <x:c r="B318" s="205"/>
      <x:c r="C318" s="206"/>
      <x:c r="D318" s="205"/>
      <x:c r="E318" s="207"/>
      <x:c r="F318" s="208"/>
      <x:c r="G318" s="209" t="str">
        <x:f>IF($S318="","",IFERROR(VLOOKUP($S318,'Data'!$D$2:$G$14,3,FALSE),""))</x:f>
      </x:c>
      <x:c r="H318" s="210" t="str">
        <x:f>IF($G318="","",$G318/'Data'!$O$2/'Data'!$O$3)</x:f>
      </x:c>
      <x:c r="I318" s="211"/>
      <x:c r="J318" s="209" t="str">
        <x:f>IF(OR($E318="",$I318=""),"",$I318*'Data'!$O$2*'Data'!$O$3)</x:f>
      </x:c>
      <x:c r="K318" s="212" t="str">
        <x:f>IF(OR($J318="",$G318=""),"",$J318/$G318)</x:f>
      </x:c>
      <x:c r="L318" s="213" t="str">
        <x:f>IF($K318="","",VLOOKUP($K318,'Data'!$I$2:$L$6,3,TRUE))</x:f>
      </x:c>
      <x:c r="M318" s="210" t="str">
        <x:f>IF($L318="","",$I318*$L318)</x:f>
      </x:c>
      <x:c r="N318" s="214" t="str">
        <x:f>IF($M318="","",ROUNDDOWN($I318+$M318,2))</x:f>
      </x:c>
      <x:c r="O318" s="210" t="str">
        <x:f>IF($N318="","",ROUNDDOWN(ROUNDDOWN($N318,2)*$R318,3))</x:f>
      </x:c>
      <x:c r="P318" s="215"/>
      <x:c r="Q318" s="222" t="str">
        <x:f>IF($E318="","",IF(OR(RIGHT(UPPER(TRIM(SUBSTITUTE(CLEAN($E318),CHAR(160)," "))),2)="P1",RIGHT(UPPER(TRIM(SUBSTITUTE(CLEAN($E318),CHAR(160)," "))),2)="P2",RIGHT(UPPER(TRIM(SUBSTITUTE(CLEAN($E318),CHAR(160)," "))),2)="P3",RIGHT(UPPER(TRIM(SUBSTITUTE(CLEAN($E318),CHAR(160)," "))),2)="P4",ISNUMBER(SEARCH("INDUSTRIAL HYGIENIST 1 ENVIRONMENT",UPPER(TRIM(SUBSTITUTE(CLEAN($E318),CHAR(160)," ")))))),"PS","GS"))</x:f>
      </x:c>
      <x:c r="R318" s="223" t="str">
        <x:f>IF($Q318="","",IF($Q318="PS",'Data'!$O$5,'Data'!$O$4))</x:f>
      </x:c>
      <x:c r="S318" s="224" t="str">
        <x:f>IF($E318="","",IFERROR(VLOOKUP($E318,'Data'!$A$2:$B$114,2,FALSE),""))</x:f>
      </x:c>
      <x:c r="T318" s="217" t="str">
        <x:f>IF($K318="","",VLOOKUP($K318,'Data'!$I$2:$L$6,2,TRUE))</x:f>
      </x:c>
      <x:c r="U318" s="217"/>
      <x:c r="V318" s="221" t="str">
        <x:f>IF($L318="","",$J318*$L318)</x:f>
      </x:c>
      <x:c r="W318" s="221" t="str">
        <x:f>IF($V318="","",$J318+$V318)</x:f>
      </x:c>
      <x:c r="X318" s="217" t="str">
        <x:f>IF($Y318="Ready","Review and inform supplier","")</x:f>
      </x:c>
      <x:c r="Y318" s="217" t="str">
        <x:f>IF(AND($B318="",$E318="",$I318=""),"",IF($B318="","Missing Assignment Number",IF($E318="","Select Job Title",IF($I318="","Enter Pay Rate",IF($S318="","Job Title not found","Ready")))))</x:f>
      </x:c>
    </x:row>
    <x:row r="319" ht="22" customHeight="1">
      <x:c r="A319" s="205"/>
      <x:c r="B319" s="205"/>
      <x:c r="C319" s="206"/>
      <x:c r="D319" s="205"/>
      <x:c r="E319" s="207"/>
      <x:c r="F319" s="208"/>
      <x:c r="G319" s="209" t="str">
        <x:f>IF($S319="","",IFERROR(VLOOKUP($S319,'Data'!$D$2:$G$14,3,FALSE),""))</x:f>
      </x:c>
      <x:c r="H319" s="210" t="str">
        <x:f>IF($G319="","",$G319/'Data'!$O$2/'Data'!$O$3)</x:f>
      </x:c>
      <x:c r="I319" s="211"/>
      <x:c r="J319" s="209" t="str">
        <x:f>IF(OR($E319="",$I319=""),"",$I319*'Data'!$O$2*'Data'!$O$3)</x:f>
      </x:c>
      <x:c r="K319" s="212" t="str">
        <x:f>IF(OR($J319="",$G319=""),"",$J319/$G319)</x:f>
      </x:c>
      <x:c r="L319" s="213" t="str">
        <x:f>IF($K319="","",VLOOKUP($K319,'Data'!$I$2:$L$6,3,TRUE))</x:f>
      </x:c>
      <x:c r="M319" s="210" t="str">
        <x:f>IF($L319="","",$I319*$L319)</x:f>
      </x:c>
      <x:c r="N319" s="214" t="str">
        <x:f>IF($M319="","",ROUNDDOWN($I319+$M319,2))</x:f>
      </x:c>
      <x:c r="O319" s="210" t="str">
        <x:f>IF($N319="","",ROUNDDOWN(ROUNDDOWN($N319,2)*$R319,3))</x:f>
      </x:c>
      <x:c r="P319" s="215"/>
      <x:c r="Q319" s="222" t="str">
        <x:f>IF($E319="","",IF(OR(RIGHT(UPPER(TRIM(SUBSTITUTE(CLEAN($E319),CHAR(160)," "))),2)="P1",RIGHT(UPPER(TRIM(SUBSTITUTE(CLEAN($E319),CHAR(160)," "))),2)="P2",RIGHT(UPPER(TRIM(SUBSTITUTE(CLEAN($E319),CHAR(160)," "))),2)="P3",RIGHT(UPPER(TRIM(SUBSTITUTE(CLEAN($E319),CHAR(160)," "))),2)="P4",ISNUMBER(SEARCH("INDUSTRIAL HYGIENIST 1 ENVIRONMENT",UPPER(TRIM(SUBSTITUTE(CLEAN($E319),CHAR(160)," ")))))),"PS","GS"))</x:f>
      </x:c>
      <x:c r="R319" s="223" t="str">
        <x:f>IF($Q319="","",IF($Q319="PS",'Data'!$O$5,'Data'!$O$4))</x:f>
      </x:c>
      <x:c r="S319" s="224" t="str">
        <x:f>IF($E319="","",IFERROR(VLOOKUP($E319,'Data'!$A$2:$B$114,2,FALSE),""))</x:f>
      </x:c>
      <x:c r="T319" s="217" t="str">
        <x:f>IF($K319="","",VLOOKUP($K319,'Data'!$I$2:$L$6,2,TRUE))</x:f>
      </x:c>
      <x:c r="U319" s="217"/>
      <x:c r="V319" s="221" t="str">
        <x:f>IF($L319="","",$J319*$L319)</x:f>
      </x:c>
      <x:c r="W319" s="221" t="str">
        <x:f>IF($V319="","",$J319+$V319)</x:f>
      </x:c>
      <x:c r="X319" s="217" t="str">
        <x:f>IF($Y319="Ready","Review and inform supplier","")</x:f>
      </x:c>
      <x:c r="Y319" s="217" t="str">
        <x:f>IF(AND($B319="",$E319="",$I319=""),"",IF($B319="","Missing Assignment Number",IF($E319="","Select Job Title",IF($I319="","Enter Pay Rate",IF($S319="","Job Title not found","Ready")))))</x:f>
      </x:c>
    </x:row>
    <x:row r="320" ht="22" customHeight="1">
      <x:c r="A320" s="205"/>
      <x:c r="B320" s="205"/>
      <x:c r="C320" s="206"/>
      <x:c r="D320" s="205"/>
      <x:c r="E320" s="207"/>
      <x:c r="F320" s="208"/>
      <x:c r="G320" s="209" t="str">
        <x:f>IF($S320="","",IFERROR(VLOOKUP($S320,'Data'!$D$2:$G$14,3,FALSE),""))</x:f>
      </x:c>
      <x:c r="H320" s="210" t="str">
        <x:f>IF($G320="","",$G320/'Data'!$O$2/'Data'!$O$3)</x:f>
      </x:c>
      <x:c r="I320" s="211"/>
      <x:c r="J320" s="209" t="str">
        <x:f>IF(OR($E320="",$I320=""),"",$I320*'Data'!$O$2*'Data'!$O$3)</x:f>
      </x:c>
      <x:c r="K320" s="212" t="str">
        <x:f>IF(OR($J320="",$G320=""),"",$J320/$G320)</x:f>
      </x:c>
      <x:c r="L320" s="213" t="str">
        <x:f>IF($K320="","",VLOOKUP($K320,'Data'!$I$2:$L$6,3,TRUE))</x:f>
      </x:c>
      <x:c r="M320" s="210" t="str">
        <x:f>IF($L320="","",$I320*$L320)</x:f>
      </x:c>
      <x:c r="N320" s="214" t="str">
        <x:f>IF($M320="","",ROUNDDOWN($I320+$M320,2))</x:f>
      </x:c>
      <x:c r="O320" s="210" t="str">
        <x:f>IF($N320="","",ROUNDDOWN(ROUNDDOWN($N320,2)*$R320,3))</x:f>
      </x:c>
      <x:c r="P320" s="215"/>
      <x:c r="Q320" s="222" t="str">
        <x:f>IF($E320="","",IF(OR(RIGHT(UPPER(TRIM(SUBSTITUTE(CLEAN($E320),CHAR(160)," "))),2)="P1",RIGHT(UPPER(TRIM(SUBSTITUTE(CLEAN($E320),CHAR(160)," "))),2)="P2",RIGHT(UPPER(TRIM(SUBSTITUTE(CLEAN($E320),CHAR(160)," "))),2)="P3",RIGHT(UPPER(TRIM(SUBSTITUTE(CLEAN($E320),CHAR(160)," "))),2)="P4",ISNUMBER(SEARCH("INDUSTRIAL HYGIENIST 1 ENVIRONMENT",UPPER(TRIM(SUBSTITUTE(CLEAN($E320),CHAR(160)," ")))))),"PS","GS"))</x:f>
      </x:c>
      <x:c r="R320" s="223" t="str">
        <x:f>IF($Q320="","",IF($Q320="PS",'Data'!$O$5,'Data'!$O$4))</x:f>
      </x:c>
      <x:c r="S320" s="224" t="str">
        <x:f>IF($E320="","",IFERROR(VLOOKUP($E320,'Data'!$A$2:$B$114,2,FALSE),""))</x:f>
      </x:c>
      <x:c r="T320" s="217" t="str">
        <x:f>IF($K320="","",VLOOKUP($K320,'Data'!$I$2:$L$6,2,TRUE))</x:f>
      </x:c>
      <x:c r="U320" s="217"/>
      <x:c r="V320" s="221" t="str">
        <x:f>IF($L320="","",$J320*$L320)</x:f>
      </x:c>
      <x:c r="W320" s="221" t="str">
        <x:f>IF($V320="","",$J320+$V320)</x:f>
      </x:c>
      <x:c r="X320" s="217" t="str">
        <x:f>IF($Y320="Ready","Review and inform supplier","")</x:f>
      </x:c>
      <x:c r="Y320" s="217" t="str">
        <x:f>IF(AND($B320="",$E320="",$I320=""),"",IF($B320="","Missing Assignment Number",IF($E320="","Select Job Title",IF($I320="","Enter Pay Rate",IF($S320="","Job Title not found","Ready")))))</x:f>
      </x:c>
    </x:row>
    <x:row r="321" ht="22" customHeight="1">
      <x:c r="A321" s="205"/>
      <x:c r="B321" s="205"/>
      <x:c r="C321" s="206"/>
      <x:c r="D321" s="205"/>
      <x:c r="E321" s="207"/>
      <x:c r="F321" s="208"/>
      <x:c r="G321" s="209" t="str">
        <x:f>IF($S321="","",IFERROR(VLOOKUP($S321,'Data'!$D$2:$G$14,3,FALSE),""))</x:f>
      </x:c>
      <x:c r="H321" s="210" t="str">
        <x:f>IF($G321="","",$G321/'Data'!$O$2/'Data'!$O$3)</x:f>
      </x:c>
      <x:c r="I321" s="211"/>
      <x:c r="J321" s="209" t="str">
        <x:f>IF(OR($E321="",$I321=""),"",$I321*'Data'!$O$2*'Data'!$O$3)</x:f>
      </x:c>
      <x:c r="K321" s="212" t="str">
        <x:f>IF(OR($J321="",$G321=""),"",$J321/$G321)</x:f>
      </x:c>
      <x:c r="L321" s="213" t="str">
        <x:f>IF($K321="","",VLOOKUP($K321,'Data'!$I$2:$L$6,3,TRUE))</x:f>
      </x:c>
      <x:c r="M321" s="210" t="str">
        <x:f>IF($L321="","",$I321*$L321)</x:f>
      </x:c>
      <x:c r="N321" s="214" t="str">
        <x:f>IF($M321="","",ROUNDDOWN($I321+$M321,2))</x:f>
      </x:c>
      <x:c r="O321" s="210" t="str">
        <x:f>IF($N321="","",ROUNDDOWN(ROUNDDOWN($N321,2)*$R321,3))</x:f>
      </x:c>
      <x:c r="P321" s="215"/>
      <x:c r="Q321" s="222" t="str">
        <x:f>IF($E321="","",IF(OR(RIGHT(UPPER(TRIM(SUBSTITUTE(CLEAN($E321),CHAR(160)," "))),2)="P1",RIGHT(UPPER(TRIM(SUBSTITUTE(CLEAN($E321),CHAR(160)," "))),2)="P2",RIGHT(UPPER(TRIM(SUBSTITUTE(CLEAN($E321),CHAR(160)," "))),2)="P3",RIGHT(UPPER(TRIM(SUBSTITUTE(CLEAN($E321),CHAR(160)," "))),2)="P4",ISNUMBER(SEARCH("INDUSTRIAL HYGIENIST 1 ENVIRONMENT",UPPER(TRIM(SUBSTITUTE(CLEAN($E321),CHAR(160)," ")))))),"PS","GS"))</x:f>
      </x:c>
      <x:c r="R321" s="223" t="str">
        <x:f>IF($Q321="","",IF($Q321="PS",'Data'!$O$5,'Data'!$O$4))</x:f>
      </x:c>
      <x:c r="S321" s="224" t="str">
        <x:f>IF($E321="","",IFERROR(VLOOKUP($E321,'Data'!$A$2:$B$114,2,FALSE),""))</x:f>
      </x:c>
      <x:c r="T321" s="217" t="str">
        <x:f>IF($K321="","",VLOOKUP($K321,'Data'!$I$2:$L$6,2,TRUE))</x:f>
      </x:c>
      <x:c r="U321" s="217"/>
      <x:c r="V321" s="221" t="str">
        <x:f>IF($L321="","",$J321*$L321)</x:f>
      </x:c>
      <x:c r="W321" s="221" t="str">
        <x:f>IF($V321="","",$J321+$V321)</x:f>
      </x:c>
      <x:c r="X321" s="217" t="str">
        <x:f>IF($Y321="Ready","Review and inform supplier","")</x:f>
      </x:c>
      <x:c r="Y321" s="217" t="str">
        <x:f>IF(AND($B321="",$E321="",$I321=""),"",IF($B321="","Missing Assignment Number",IF($E321="","Select Job Title",IF($I321="","Enter Pay Rate",IF($S321="","Job Title not found","Ready")))))</x:f>
      </x:c>
    </x:row>
    <x:row r="322" ht="22" customHeight="1">
      <x:c r="A322" s="205"/>
      <x:c r="B322" s="205"/>
      <x:c r="C322" s="206"/>
      <x:c r="D322" s="205"/>
      <x:c r="E322" s="207"/>
      <x:c r="F322" s="208"/>
      <x:c r="G322" s="209" t="str">
        <x:f>IF($S322="","",IFERROR(VLOOKUP($S322,'Data'!$D$2:$G$14,3,FALSE),""))</x:f>
      </x:c>
      <x:c r="H322" s="210" t="str">
        <x:f>IF($G322="","",$G322/'Data'!$O$2/'Data'!$O$3)</x:f>
      </x:c>
      <x:c r="I322" s="211"/>
      <x:c r="J322" s="209" t="str">
        <x:f>IF(OR($E322="",$I322=""),"",$I322*'Data'!$O$2*'Data'!$O$3)</x:f>
      </x:c>
      <x:c r="K322" s="212" t="str">
        <x:f>IF(OR($J322="",$G322=""),"",$J322/$G322)</x:f>
      </x:c>
      <x:c r="L322" s="213" t="str">
        <x:f>IF($K322="","",VLOOKUP($K322,'Data'!$I$2:$L$6,3,TRUE))</x:f>
      </x:c>
      <x:c r="M322" s="210" t="str">
        <x:f>IF($L322="","",$I322*$L322)</x:f>
      </x:c>
      <x:c r="N322" s="214" t="str">
        <x:f>IF($M322="","",ROUNDDOWN($I322+$M322,2))</x:f>
      </x:c>
      <x:c r="O322" s="210" t="str">
        <x:f>IF($N322="","",ROUNDDOWN(ROUNDDOWN($N322,2)*$R322,3))</x:f>
      </x:c>
      <x:c r="P322" s="215"/>
      <x:c r="Q322" s="222" t="str">
        <x:f>IF($E322="","",IF(OR(RIGHT(UPPER(TRIM(SUBSTITUTE(CLEAN($E322),CHAR(160)," "))),2)="P1",RIGHT(UPPER(TRIM(SUBSTITUTE(CLEAN($E322),CHAR(160)," "))),2)="P2",RIGHT(UPPER(TRIM(SUBSTITUTE(CLEAN($E322),CHAR(160)," "))),2)="P3",RIGHT(UPPER(TRIM(SUBSTITUTE(CLEAN($E322),CHAR(160)," "))),2)="P4",ISNUMBER(SEARCH("INDUSTRIAL HYGIENIST 1 ENVIRONMENT",UPPER(TRIM(SUBSTITUTE(CLEAN($E322),CHAR(160)," ")))))),"PS","GS"))</x:f>
      </x:c>
      <x:c r="R322" s="223" t="str">
        <x:f>IF($Q322="","",IF($Q322="PS",'Data'!$O$5,'Data'!$O$4))</x:f>
      </x:c>
      <x:c r="S322" s="224" t="str">
        <x:f>IF($E322="","",IFERROR(VLOOKUP($E322,'Data'!$A$2:$B$114,2,FALSE),""))</x:f>
      </x:c>
      <x:c r="T322" s="217" t="str">
        <x:f>IF($K322="","",VLOOKUP($K322,'Data'!$I$2:$L$6,2,TRUE))</x:f>
      </x:c>
      <x:c r="U322" s="217"/>
      <x:c r="V322" s="221" t="str">
        <x:f>IF($L322="","",$J322*$L322)</x:f>
      </x:c>
      <x:c r="W322" s="221" t="str">
        <x:f>IF($V322="","",$J322+$V322)</x:f>
      </x:c>
      <x:c r="X322" s="217" t="str">
        <x:f>IF($Y322="Ready","Review and inform supplier","")</x:f>
      </x:c>
      <x:c r="Y322" s="217" t="str">
        <x:f>IF(AND($B322="",$E322="",$I322=""),"",IF($B322="","Missing Assignment Number",IF($E322="","Select Job Title",IF($I322="","Enter Pay Rate",IF($S322="","Job Title not found","Ready")))))</x:f>
      </x:c>
    </x:row>
    <x:row r="323" ht="22" customHeight="1">
      <x:c r="A323" s="205"/>
      <x:c r="B323" s="205"/>
      <x:c r="C323" s="206"/>
      <x:c r="D323" s="205"/>
      <x:c r="E323" s="207"/>
      <x:c r="F323" s="208"/>
      <x:c r="G323" s="209" t="str">
        <x:f>IF($S323="","",IFERROR(VLOOKUP($S323,'Data'!$D$2:$G$14,3,FALSE),""))</x:f>
      </x:c>
      <x:c r="H323" s="210" t="str">
        <x:f>IF($G323="","",$G323/'Data'!$O$2/'Data'!$O$3)</x:f>
      </x:c>
      <x:c r="I323" s="211"/>
      <x:c r="J323" s="209" t="str">
        <x:f>IF(OR($E323="",$I323=""),"",$I323*'Data'!$O$2*'Data'!$O$3)</x:f>
      </x:c>
      <x:c r="K323" s="212" t="str">
        <x:f>IF(OR($J323="",$G323=""),"",$J323/$G323)</x:f>
      </x:c>
      <x:c r="L323" s="213" t="str">
        <x:f>IF($K323="","",VLOOKUP($K323,'Data'!$I$2:$L$6,3,TRUE))</x:f>
      </x:c>
      <x:c r="M323" s="210" t="str">
        <x:f>IF($L323="","",$I323*$L323)</x:f>
      </x:c>
      <x:c r="N323" s="214" t="str">
        <x:f>IF($M323="","",ROUNDDOWN($I323+$M323,2))</x:f>
      </x:c>
      <x:c r="O323" s="210" t="str">
        <x:f>IF($N323="","",ROUNDDOWN(ROUNDDOWN($N323,2)*$R323,3))</x:f>
      </x:c>
      <x:c r="P323" s="215"/>
      <x:c r="Q323" s="222" t="str">
        <x:f>IF($E323="","",IF(OR(RIGHT(UPPER(TRIM(SUBSTITUTE(CLEAN($E323),CHAR(160)," "))),2)="P1",RIGHT(UPPER(TRIM(SUBSTITUTE(CLEAN($E323),CHAR(160)," "))),2)="P2",RIGHT(UPPER(TRIM(SUBSTITUTE(CLEAN($E323),CHAR(160)," "))),2)="P3",RIGHT(UPPER(TRIM(SUBSTITUTE(CLEAN($E323),CHAR(160)," "))),2)="P4",ISNUMBER(SEARCH("INDUSTRIAL HYGIENIST 1 ENVIRONMENT",UPPER(TRIM(SUBSTITUTE(CLEAN($E323),CHAR(160)," ")))))),"PS","GS"))</x:f>
      </x:c>
      <x:c r="R323" s="223" t="str">
        <x:f>IF($Q323="","",IF($Q323="PS",'Data'!$O$5,'Data'!$O$4))</x:f>
      </x:c>
      <x:c r="S323" s="224" t="str">
        <x:f>IF($E323="","",IFERROR(VLOOKUP($E323,'Data'!$A$2:$B$114,2,FALSE),""))</x:f>
      </x:c>
      <x:c r="T323" s="217" t="str">
        <x:f>IF($K323="","",VLOOKUP($K323,'Data'!$I$2:$L$6,2,TRUE))</x:f>
      </x:c>
      <x:c r="U323" s="217"/>
      <x:c r="V323" s="221" t="str">
        <x:f>IF($L323="","",$J323*$L323)</x:f>
      </x:c>
      <x:c r="W323" s="221" t="str">
        <x:f>IF($V323="","",$J323+$V323)</x:f>
      </x:c>
      <x:c r="X323" s="217" t="str">
        <x:f>IF($Y323="Ready","Review and inform supplier","")</x:f>
      </x:c>
      <x:c r="Y323" s="217" t="str">
        <x:f>IF(AND($B323="",$E323="",$I323=""),"",IF($B323="","Missing Assignment Number",IF($E323="","Select Job Title",IF($I323="","Enter Pay Rate",IF($S323="","Job Title not found","Ready")))))</x:f>
      </x:c>
    </x:row>
    <x:row r="324" ht="22" customHeight="1">
      <x:c r="A324" s="205"/>
      <x:c r="B324" s="205"/>
      <x:c r="C324" s="206"/>
      <x:c r="D324" s="205"/>
      <x:c r="E324" s="207"/>
      <x:c r="F324" s="208"/>
      <x:c r="G324" s="209" t="str">
        <x:f>IF($S324="","",IFERROR(VLOOKUP($S324,'Data'!$D$2:$G$14,3,FALSE),""))</x:f>
      </x:c>
      <x:c r="H324" s="210" t="str">
        <x:f>IF($G324="","",$G324/'Data'!$O$2/'Data'!$O$3)</x:f>
      </x:c>
      <x:c r="I324" s="211"/>
      <x:c r="J324" s="209" t="str">
        <x:f>IF(OR($E324="",$I324=""),"",$I324*'Data'!$O$2*'Data'!$O$3)</x:f>
      </x:c>
      <x:c r="K324" s="212" t="str">
        <x:f>IF(OR($J324="",$G324=""),"",$J324/$G324)</x:f>
      </x:c>
      <x:c r="L324" s="213" t="str">
        <x:f>IF($K324="","",VLOOKUP($K324,'Data'!$I$2:$L$6,3,TRUE))</x:f>
      </x:c>
      <x:c r="M324" s="210" t="str">
        <x:f>IF($L324="","",$I324*$L324)</x:f>
      </x:c>
      <x:c r="N324" s="214" t="str">
        <x:f>IF($M324="","",ROUNDDOWN($I324+$M324,2))</x:f>
      </x:c>
      <x:c r="O324" s="210" t="str">
        <x:f>IF($N324="","",ROUNDDOWN(ROUNDDOWN($N324,2)*$R324,3))</x:f>
      </x:c>
      <x:c r="P324" s="215"/>
      <x:c r="Q324" s="222" t="str">
        <x:f>IF($E324="","",IF(OR(RIGHT(UPPER(TRIM(SUBSTITUTE(CLEAN($E324),CHAR(160)," "))),2)="P1",RIGHT(UPPER(TRIM(SUBSTITUTE(CLEAN($E324),CHAR(160)," "))),2)="P2",RIGHT(UPPER(TRIM(SUBSTITUTE(CLEAN($E324),CHAR(160)," "))),2)="P3",RIGHT(UPPER(TRIM(SUBSTITUTE(CLEAN($E324),CHAR(160)," "))),2)="P4",ISNUMBER(SEARCH("INDUSTRIAL HYGIENIST 1 ENVIRONMENT",UPPER(TRIM(SUBSTITUTE(CLEAN($E324),CHAR(160)," ")))))),"PS","GS"))</x:f>
      </x:c>
      <x:c r="R324" s="223" t="str">
        <x:f>IF($Q324="","",IF($Q324="PS",'Data'!$O$5,'Data'!$O$4))</x:f>
      </x:c>
      <x:c r="S324" s="224" t="str">
        <x:f>IF($E324="","",IFERROR(VLOOKUP($E324,'Data'!$A$2:$B$114,2,FALSE),""))</x:f>
      </x:c>
      <x:c r="T324" s="217" t="str">
        <x:f>IF($K324="","",VLOOKUP($K324,'Data'!$I$2:$L$6,2,TRUE))</x:f>
      </x:c>
      <x:c r="U324" s="217"/>
      <x:c r="V324" s="221" t="str">
        <x:f>IF($L324="","",$J324*$L324)</x:f>
      </x:c>
      <x:c r="W324" s="221" t="str">
        <x:f>IF($V324="","",$J324+$V324)</x:f>
      </x:c>
      <x:c r="X324" s="217" t="str">
        <x:f>IF($Y324="Ready","Review and inform supplier","")</x:f>
      </x:c>
      <x:c r="Y324" s="217" t="str">
        <x:f>IF(AND($B324="",$E324="",$I324=""),"",IF($B324="","Missing Assignment Number",IF($E324="","Select Job Title",IF($I324="","Enter Pay Rate",IF($S324="","Job Title not found","Ready")))))</x:f>
      </x:c>
    </x:row>
    <x:row r="325" ht="22" customHeight="1">
      <x:c r="A325" s="205"/>
      <x:c r="B325" s="205"/>
      <x:c r="C325" s="206"/>
      <x:c r="D325" s="205"/>
      <x:c r="E325" s="207"/>
      <x:c r="F325" s="208"/>
      <x:c r="G325" s="209" t="str">
        <x:f>IF($S325="","",IFERROR(VLOOKUP($S325,'Data'!$D$2:$G$14,3,FALSE),""))</x:f>
      </x:c>
      <x:c r="H325" s="210" t="str">
        <x:f>IF($G325="","",$G325/'Data'!$O$2/'Data'!$O$3)</x:f>
      </x:c>
      <x:c r="I325" s="211"/>
      <x:c r="J325" s="209" t="str">
        <x:f>IF(OR($E325="",$I325=""),"",$I325*'Data'!$O$2*'Data'!$O$3)</x:f>
      </x:c>
      <x:c r="K325" s="212" t="str">
        <x:f>IF(OR($J325="",$G325=""),"",$J325/$G325)</x:f>
      </x:c>
      <x:c r="L325" s="213" t="str">
        <x:f>IF($K325="","",VLOOKUP($K325,'Data'!$I$2:$L$6,3,TRUE))</x:f>
      </x:c>
      <x:c r="M325" s="210" t="str">
        <x:f>IF($L325="","",$I325*$L325)</x:f>
      </x:c>
      <x:c r="N325" s="214" t="str">
        <x:f>IF($M325="","",ROUNDDOWN($I325+$M325,2))</x:f>
      </x:c>
      <x:c r="O325" s="210" t="str">
        <x:f>IF($N325="","",ROUNDDOWN(ROUNDDOWN($N325,2)*$R325,3))</x:f>
      </x:c>
      <x:c r="P325" s="215"/>
      <x:c r="Q325" s="222" t="str">
        <x:f>IF($E325="","",IF(OR(RIGHT(UPPER(TRIM(SUBSTITUTE(CLEAN($E325),CHAR(160)," "))),2)="P1",RIGHT(UPPER(TRIM(SUBSTITUTE(CLEAN($E325),CHAR(160)," "))),2)="P2",RIGHT(UPPER(TRIM(SUBSTITUTE(CLEAN($E325),CHAR(160)," "))),2)="P3",RIGHT(UPPER(TRIM(SUBSTITUTE(CLEAN($E325),CHAR(160)," "))),2)="P4",ISNUMBER(SEARCH("INDUSTRIAL HYGIENIST 1 ENVIRONMENT",UPPER(TRIM(SUBSTITUTE(CLEAN($E325),CHAR(160)," ")))))),"PS","GS"))</x:f>
      </x:c>
      <x:c r="R325" s="223" t="str">
        <x:f>IF($Q325="","",IF($Q325="PS",'Data'!$O$5,'Data'!$O$4))</x:f>
      </x:c>
      <x:c r="S325" s="224" t="str">
        <x:f>IF($E325="","",IFERROR(VLOOKUP($E325,'Data'!$A$2:$B$114,2,FALSE),""))</x:f>
      </x:c>
      <x:c r="T325" s="217" t="str">
        <x:f>IF($K325="","",VLOOKUP($K325,'Data'!$I$2:$L$6,2,TRUE))</x:f>
      </x:c>
      <x:c r="U325" s="217"/>
      <x:c r="V325" s="221" t="str">
        <x:f>IF($L325="","",$J325*$L325)</x:f>
      </x:c>
      <x:c r="W325" s="221" t="str">
        <x:f>IF($V325="","",$J325+$V325)</x:f>
      </x:c>
      <x:c r="X325" s="217" t="str">
        <x:f>IF($Y325="Ready","Review and inform supplier","")</x:f>
      </x:c>
      <x:c r="Y325" s="217" t="str">
        <x:f>IF(AND($B325="",$E325="",$I325=""),"",IF($B325="","Missing Assignment Number",IF($E325="","Select Job Title",IF($I325="","Enter Pay Rate",IF($S325="","Job Title not found","Ready")))))</x:f>
      </x:c>
    </x:row>
    <x:row r="326" ht="22" customHeight="1">
      <x:c r="A326" s="205"/>
      <x:c r="B326" s="205"/>
      <x:c r="C326" s="206"/>
      <x:c r="D326" s="205"/>
      <x:c r="E326" s="207"/>
      <x:c r="F326" s="208"/>
      <x:c r="G326" s="209" t="str">
        <x:f>IF($S326="","",IFERROR(VLOOKUP($S326,'Data'!$D$2:$G$14,3,FALSE),""))</x:f>
      </x:c>
      <x:c r="H326" s="210" t="str">
        <x:f>IF($G326="","",$G326/'Data'!$O$2/'Data'!$O$3)</x:f>
      </x:c>
      <x:c r="I326" s="211"/>
      <x:c r="J326" s="209" t="str">
        <x:f>IF(OR($E326="",$I326=""),"",$I326*'Data'!$O$2*'Data'!$O$3)</x:f>
      </x:c>
      <x:c r="K326" s="212" t="str">
        <x:f>IF(OR($J326="",$G326=""),"",$J326/$G326)</x:f>
      </x:c>
      <x:c r="L326" s="213" t="str">
        <x:f>IF($K326="","",VLOOKUP($K326,'Data'!$I$2:$L$6,3,TRUE))</x:f>
      </x:c>
      <x:c r="M326" s="210" t="str">
        <x:f>IF($L326="","",$I326*$L326)</x:f>
      </x:c>
      <x:c r="N326" s="214" t="str">
        <x:f>IF($M326="","",ROUNDDOWN($I326+$M326,2))</x:f>
      </x:c>
      <x:c r="O326" s="210" t="str">
        <x:f>IF($N326="","",ROUNDDOWN(ROUNDDOWN($N326,2)*$R326,3))</x:f>
      </x:c>
      <x:c r="P326" s="215"/>
      <x:c r="Q326" s="222" t="str">
        <x:f>IF($E326="","",IF(OR(RIGHT(UPPER(TRIM(SUBSTITUTE(CLEAN($E326),CHAR(160)," "))),2)="P1",RIGHT(UPPER(TRIM(SUBSTITUTE(CLEAN($E326),CHAR(160)," "))),2)="P2",RIGHT(UPPER(TRIM(SUBSTITUTE(CLEAN($E326),CHAR(160)," "))),2)="P3",RIGHT(UPPER(TRIM(SUBSTITUTE(CLEAN($E326),CHAR(160)," "))),2)="P4",ISNUMBER(SEARCH("INDUSTRIAL HYGIENIST 1 ENVIRONMENT",UPPER(TRIM(SUBSTITUTE(CLEAN($E326),CHAR(160)," ")))))),"PS","GS"))</x:f>
      </x:c>
      <x:c r="R326" s="223" t="str">
        <x:f>IF($Q326="","",IF($Q326="PS",'Data'!$O$5,'Data'!$O$4))</x:f>
      </x:c>
      <x:c r="S326" s="224" t="str">
        <x:f>IF($E326="","",IFERROR(VLOOKUP($E326,'Data'!$A$2:$B$114,2,FALSE),""))</x:f>
      </x:c>
      <x:c r="T326" s="217" t="str">
        <x:f>IF($K326="","",VLOOKUP($K326,'Data'!$I$2:$L$6,2,TRUE))</x:f>
      </x:c>
      <x:c r="U326" s="217"/>
      <x:c r="V326" s="221" t="str">
        <x:f>IF($L326="","",$J326*$L326)</x:f>
      </x:c>
      <x:c r="W326" s="221" t="str">
        <x:f>IF($V326="","",$J326+$V326)</x:f>
      </x:c>
      <x:c r="X326" s="217" t="str">
        <x:f>IF($Y326="Ready","Review and inform supplier","")</x:f>
      </x:c>
      <x:c r="Y326" s="217" t="str">
        <x:f>IF(AND($B326="",$E326="",$I326=""),"",IF($B326="","Missing Assignment Number",IF($E326="","Select Job Title",IF($I326="","Enter Pay Rate",IF($S326="","Job Title not found","Ready")))))</x:f>
      </x:c>
    </x:row>
    <x:row r="327" ht="22" customHeight="1">
      <x:c r="A327" s="205"/>
      <x:c r="B327" s="205"/>
      <x:c r="C327" s="206"/>
      <x:c r="D327" s="205"/>
      <x:c r="E327" s="207"/>
      <x:c r="F327" s="208"/>
      <x:c r="G327" s="209" t="str">
        <x:f>IF($S327="","",IFERROR(VLOOKUP($S327,'Data'!$D$2:$G$14,3,FALSE),""))</x:f>
      </x:c>
      <x:c r="H327" s="210" t="str">
        <x:f>IF($G327="","",$G327/'Data'!$O$2/'Data'!$O$3)</x:f>
      </x:c>
      <x:c r="I327" s="211"/>
      <x:c r="J327" s="209" t="str">
        <x:f>IF(OR($E327="",$I327=""),"",$I327*'Data'!$O$2*'Data'!$O$3)</x:f>
      </x:c>
      <x:c r="K327" s="212" t="str">
        <x:f>IF(OR($J327="",$G327=""),"",$J327/$G327)</x:f>
      </x:c>
      <x:c r="L327" s="213" t="str">
        <x:f>IF($K327="","",VLOOKUP($K327,'Data'!$I$2:$L$6,3,TRUE))</x:f>
      </x:c>
      <x:c r="M327" s="210" t="str">
        <x:f>IF($L327="","",$I327*$L327)</x:f>
      </x:c>
      <x:c r="N327" s="214" t="str">
        <x:f>IF($M327="","",ROUNDDOWN($I327+$M327,2))</x:f>
      </x:c>
      <x:c r="O327" s="210" t="str">
        <x:f>IF($N327="","",ROUNDDOWN(ROUNDDOWN($N327,2)*$R327,3))</x:f>
      </x:c>
      <x:c r="P327" s="215"/>
      <x:c r="Q327" s="222" t="str">
        <x:f>IF($E327="","",IF(OR(RIGHT(UPPER(TRIM(SUBSTITUTE(CLEAN($E327),CHAR(160)," "))),2)="P1",RIGHT(UPPER(TRIM(SUBSTITUTE(CLEAN($E327),CHAR(160)," "))),2)="P2",RIGHT(UPPER(TRIM(SUBSTITUTE(CLEAN($E327),CHAR(160)," "))),2)="P3",RIGHT(UPPER(TRIM(SUBSTITUTE(CLEAN($E327),CHAR(160)," "))),2)="P4",ISNUMBER(SEARCH("INDUSTRIAL HYGIENIST 1 ENVIRONMENT",UPPER(TRIM(SUBSTITUTE(CLEAN($E327),CHAR(160)," ")))))),"PS","GS"))</x:f>
      </x:c>
      <x:c r="R327" s="223" t="str">
        <x:f>IF($Q327="","",IF($Q327="PS",'Data'!$O$5,'Data'!$O$4))</x:f>
      </x:c>
      <x:c r="S327" s="224" t="str">
        <x:f>IF($E327="","",IFERROR(VLOOKUP($E327,'Data'!$A$2:$B$114,2,FALSE),""))</x:f>
      </x:c>
      <x:c r="T327" s="217" t="str">
        <x:f>IF($K327="","",VLOOKUP($K327,'Data'!$I$2:$L$6,2,TRUE))</x:f>
      </x:c>
      <x:c r="U327" s="217"/>
      <x:c r="V327" s="221" t="str">
        <x:f>IF($L327="","",$J327*$L327)</x:f>
      </x:c>
      <x:c r="W327" s="221" t="str">
        <x:f>IF($V327="","",$J327+$V327)</x:f>
      </x:c>
      <x:c r="X327" s="217" t="str">
        <x:f>IF($Y327="Ready","Review and inform supplier","")</x:f>
      </x:c>
      <x:c r="Y327" s="217" t="str">
        <x:f>IF(AND($B327="",$E327="",$I327=""),"",IF($B327="","Missing Assignment Number",IF($E327="","Select Job Title",IF($I327="","Enter Pay Rate",IF($S327="","Job Title not found","Ready")))))</x:f>
      </x:c>
    </x:row>
    <x:row r="328" ht="22" customHeight="1">
      <x:c r="A328" s="205"/>
      <x:c r="B328" s="205"/>
      <x:c r="C328" s="206"/>
      <x:c r="D328" s="205"/>
      <x:c r="E328" s="207"/>
      <x:c r="F328" s="208"/>
      <x:c r="G328" s="209" t="str">
        <x:f>IF($S328="","",IFERROR(VLOOKUP($S328,'Data'!$D$2:$G$14,3,FALSE),""))</x:f>
      </x:c>
      <x:c r="H328" s="210" t="str">
        <x:f>IF($G328="","",$G328/'Data'!$O$2/'Data'!$O$3)</x:f>
      </x:c>
      <x:c r="I328" s="211"/>
      <x:c r="J328" s="209" t="str">
        <x:f>IF(OR($E328="",$I328=""),"",$I328*'Data'!$O$2*'Data'!$O$3)</x:f>
      </x:c>
      <x:c r="K328" s="212" t="str">
        <x:f>IF(OR($J328="",$G328=""),"",$J328/$G328)</x:f>
      </x:c>
      <x:c r="L328" s="213" t="str">
        <x:f>IF($K328="","",VLOOKUP($K328,'Data'!$I$2:$L$6,3,TRUE))</x:f>
      </x:c>
      <x:c r="M328" s="210" t="str">
        <x:f>IF($L328="","",$I328*$L328)</x:f>
      </x:c>
      <x:c r="N328" s="214" t="str">
        <x:f>IF($M328="","",ROUNDDOWN($I328+$M328,2))</x:f>
      </x:c>
      <x:c r="O328" s="210" t="str">
        <x:f>IF($N328="","",ROUNDDOWN(ROUNDDOWN($N328,2)*$R328,3))</x:f>
      </x:c>
      <x:c r="P328" s="215"/>
      <x:c r="Q328" s="222" t="str">
        <x:f>IF($E328="","",IF(OR(RIGHT(UPPER(TRIM(SUBSTITUTE(CLEAN($E328),CHAR(160)," "))),2)="P1",RIGHT(UPPER(TRIM(SUBSTITUTE(CLEAN($E328),CHAR(160)," "))),2)="P2",RIGHT(UPPER(TRIM(SUBSTITUTE(CLEAN($E328),CHAR(160)," "))),2)="P3",RIGHT(UPPER(TRIM(SUBSTITUTE(CLEAN($E328),CHAR(160)," "))),2)="P4",ISNUMBER(SEARCH("INDUSTRIAL HYGIENIST 1 ENVIRONMENT",UPPER(TRIM(SUBSTITUTE(CLEAN($E328),CHAR(160)," ")))))),"PS","GS"))</x:f>
      </x:c>
      <x:c r="R328" s="223" t="str">
        <x:f>IF($Q328="","",IF($Q328="PS",'Data'!$O$5,'Data'!$O$4))</x:f>
      </x:c>
      <x:c r="S328" s="224" t="str">
        <x:f>IF($E328="","",IFERROR(VLOOKUP($E328,'Data'!$A$2:$B$114,2,FALSE),""))</x:f>
      </x:c>
      <x:c r="T328" s="217" t="str">
        <x:f>IF($K328="","",VLOOKUP($K328,'Data'!$I$2:$L$6,2,TRUE))</x:f>
      </x:c>
      <x:c r="U328" s="217"/>
      <x:c r="V328" s="221" t="str">
        <x:f>IF($L328="","",$J328*$L328)</x:f>
      </x:c>
      <x:c r="W328" s="221" t="str">
        <x:f>IF($V328="","",$J328+$V328)</x:f>
      </x:c>
      <x:c r="X328" s="217" t="str">
        <x:f>IF($Y328="Ready","Review and inform supplier","")</x:f>
      </x:c>
      <x:c r="Y328" s="217" t="str">
        <x:f>IF(AND($B328="",$E328="",$I328=""),"",IF($B328="","Missing Assignment Number",IF($E328="","Select Job Title",IF($I328="","Enter Pay Rate",IF($S328="","Job Title not found","Ready")))))</x:f>
      </x:c>
    </x:row>
    <x:row r="329" ht="22" customHeight="1">
      <x:c r="A329" s="205"/>
      <x:c r="B329" s="205"/>
      <x:c r="C329" s="206"/>
      <x:c r="D329" s="205"/>
      <x:c r="E329" s="207"/>
      <x:c r="F329" s="208"/>
      <x:c r="G329" s="209" t="str">
        <x:f>IF($S329="","",IFERROR(VLOOKUP($S329,'Data'!$D$2:$G$14,3,FALSE),""))</x:f>
      </x:c>
      <x:c r="H329" s="210" t="str">
        <x:f>IF($G329="","",$G329/'Data'!$O$2/'Data'!$O$3)</x:f>
      </x:c>
      <x:c r="I329" s="211"/>
      <x:c r="J329" s="209" t="str">
        <x:f>IF(OR($E329="",$I329=""),"",$I329*'Data'!$O$2*'Data'!$O$3)</x:f>
      </x:c>
      <x:c r="K329" s="212" t="str">
        <x:f>IF(OR($J329="",$G329=""),"",$J329/$G329)</x:f>
      </x:c>
      <x:c r="L329" s="213" t="str">
        <x:f>IF($K329="","",VLOOKUP($K329,'Data'!$I$2:$L$6,3,TRUE))</x:f>
      </x:c>
      <x:c r="M329" s="210" t="str">
        <x:f>IF($L329="","",$I329*$L329)</x:f>
      </x:c>
      <x:c r="N329" s="214" t="str">
        <x:f>IF($M329="","",ROUNDDOWN($I329+$M329,2))</x:f>
      </x:c>
      <x:c r="O329" s="210" t="str">
        <x:f>IF($N329="","",ROUNDDOWN(ROUNDDOWN($N329,2)*$R329,3))</x:f>
      </x:c>
      <x:c r="P329" s="215"/>
      <x:c r="Q329" s="222" t="str">
        <x:f>IF($E329="","",IF(OR(RIGHT(UPPER(TRIM(SUBSTITUTE(CLEAN($E329),CHAR(160)," "))),2)="P1",RIGHT(UPPER(TRIM(SUBSTITUTE(CLEAN($E329),CHAR(160)," "))),2)="P2",RIGHT(UPPER(TRIM(SUBSTITUTE(CLEAN($E329),CHAR(160)," "))),2)="P3",RIGHT(UPPER(TRIM(SUBSTITUTE(CLEAN($E329),CHAR(160)," "))),2)="P4",ISNUMBER(SEARCH("INDUSTRIAL HYGIENIST 1 ENVIRONMENT",UPPER(TRIM(SUBSTITUTE(CLEAN($E329),CHAR(160)," ")))))),"PS","GS"))</x:f>
      </x:c>
      <x:c r="R329" s="223" t="str">
        <x:f>IF($Q329="","",IF($Q329="PS",'Data'!$O$5,'Data'!$O$4))</x:f>
      </x:c>
      <x:c r="S329" s="224" t="str">
        <x:f>IF($E329="","",IFERROR(VLOOKUP($E329,'Data'!$A$2:$B$114,2,FALSE),""))</x:f>
      </x:c>
      <x:c r="T329" s="217" t="str">
        <x:f>IF($K329="","",VLOOKUP($K329,'Data'!$I$2:$L$6,2,TRUE))</x:f>
      </x:c>
      <x:c r="U329" s="217"/>
      <x:c r="V329" s="221" t="str">
        <x:f>IF($L329="","",$J329*$L329)</x:f>
      </x:c>
      <x:c r="W329" s="221" t="str">
        <x:f>IF($V329="","",$J329+$V329)</x:f>
      </x:c>
      <x:c r="X329" s="217" t="str">
        <x:f>IF($Y329="Ready","Review and inform supplier","")</x:f>
      </x:c>
      <x:c r="Y329" s="217" t="str">
        <x:f>IF(AND($B329="",$E329="",$I329=""),"",IF($B329="","Missing Assignment Number",IF($E329="","Select Job Title",IF($I329="","Enter Pay Rate",IF($S329="","Job Title not found","Ready")))))</x:f>
      </x:c>
    </x:row>
    <x:row r="330" ht="22" customHeight="1">
      <x:c r="A330" s="205"/>
      <x:c r="B330" s="205"/>
      <x:c r="C330" s="206"/>
      <x:c r="D330" s="205"/>
      <x:c r="E330" s="207"/>
      <x:c r="F330" s="208"/>
      <x:c r="G330" s="209" t="str">
        <x:f>IF($S330="","",IFERROR(VLOOKUP($S330,'Data'!$D$2:$G$14,3,FALSE),""))</x:f>
      </x:c>
      <x:c r="H330" s="210" t="str">
        <x:f>IF($G330="","",$G330/'Data'!$O$2/'Data'!$O$3)</x:f>
      </x:c>
      <x:c r="I330" s="211"/>
      <x:c r="J330" s="209" t="str">
        <x:f>IF(OR($E330="",$I330=""),"",$I330*'Data'!$O$2*'Data'!$O$3)</x:f>
      </x:c>
      <x:c r="K330" s="212" t="str">
        <x:f>IF(OR($J330="",$G330=""),"",$J330/$G330)</x:f>
      </x:c>
      <x:c r="L330" s="213" t="str">
        <x:f>IF($K330="","",VLOOKUP($K330,'Data'!$I$2:$L$6,3,TRUE))</x:f>
      </x:c>
      <x:c r="M330" s="210" t="str">
        <x:f>IF($L330="","",$I330*$L330)</x:f>
      </x:c>
      <x:c r="N330" s="214" t="str">
        <x:f>IF($M330="","",ROUNDDOWN($I330+$M330,2))</x:f>
      </x:c>
      <x:c r="O330" s="210" t="str">
        <x:f>IF($N330="","",ROUNDDOWN(ROUNDDOWN($N330,2)*$R330,3))</x:f>
      </x:c>
      <x:c r="P330" s="215"/>
      <x:c r="Q330" s="222" t="str">
        <x:f>IF($E330="","",IF(OR(RIGHT(UPPER(TRIM(SUBSTITUTE(CLEAN($E330),CHAR(160)," "))),2)="P1",RIGHT(UPPER(TRIM(SUBSTITUTE(CLEAN($E330),CHAR(160)," "))),2)="P2",RIGHT(UPPER(TRIM(SUBSTITUTE(CLEAN($E330),CHAR(160)," "))),2)="P3",RIGHT(UPPER(TRIM(SUBSTITUTE(CLEAN($E330),CHAR(160)," "))),2)="P4",ISNUMBER(SEARCH("INDUSTRIAL HYGIENIST 1 ENVIRONMENT",UPPER(TRIM(SUBSTITUTE(CLEAN($E330),CHAR(160)," ")))))),"PS","GS"))</x:f>
      </x:c>
      <x:c r="R330" s="223" t="str">
        <x:f>IF($Q330="","",IF($Q330="PS",'Data'!$O$5,'Data'!$O$4))</x:f>
      </x:c>
      <x:c r="S330" s="224" t="str">
        <x:f>IF($E330="","",IFERROR(VLOOKUP($E330,'Data'!$A$2:$B$114,2,FALSE),""))</x:f>
      </x:c>
      <x:c r="T330" s="217" t="str">
        <x:f>IF($K330="","",VLOOKUP($K330,'Data'!$I$2:$L$6,2,TRUE))</x:f>
      </x:c>
      <x:c r="U330" s="217"/>
      <x:c r="V330" s="221" t="str">
        <x:f>IF($L330="","",$J330*$L330)</x:f>
      </x:c>
      <x:c r="W330" s="221" t="str">
        <x:f>IF($V330="","",$J330+$V330)</x:f>
      </x:c>
      <x:c r="X330" s="217" t="str">
        <x:f>IF($Y330="Ready","Review and inform supplier","")</x:f>
      </x:c>
      <x:c r="Y330" s="217" t="str">
        <x:f>IF(AND($B330="",$E330="",$I330=""),"",IF($B330="","Missing Assignment Number",IF($E330="","Select Job Title",IF($I330="","Enter Pay Rate",IF($S330="","Job Title not found","Ready")))))</x:f>
      </x:c>
    </x:row>
    <x:row r="331" ht="22" customHeight="1">
      <x:c r="A331" s="205"/>
      <x:c r="B331" s="205"/>
      <x:c r="C331" s="206"/>
      <x:c r="D331" s="205"/>
      <x:c r="E331" s="207"/>
      <x:c r="F331" s="208"/>
      <x:c r="G331" s="209" t="str">
        <x:f>IF($S331="","",IFERROR(VLOOKUP($S331,'Data'!$D$2:$G$14,3,FALSE),""))</x:f>
      </x:c>
      <x:c r="H331" s="210" t="str">
        <x:f>IF($G331="","",$G331/'Data'!$O$2/'Data'!$O$3)</x:f>
      </x:c>
      <x:c r="I331" s="211"/>
      <x:c r="J331" s="209" t="str">
        <x:f>IF(OR($E331="",$I331=""),"",$I331*'Data'!$O$2*'Data'!$O$3)</x:f>
      </x:c>
      <x:c r="K331" s="212" t="str">
        <x:f>IF(OR($J331="",$G331=""),"",$J331/$G331)</x:f>
      </x:c>
      <x:c r="L331" s="213" t="str">
        <x:f>IF($K331="","",VLOOKUP($K331,'Data'!$I$2:$L$6,3,TRUE))</x:f>
      </x:c>
      <x:c r="M331" s="210" t="str">
        <x:f>IF($L331="","",$I331*$L331)</x:f>
      </x:c>
      <x:c r="N331" s="214" t="str">
        <x:f>IF($M331="","",ROUNDDOWN($I331+$M331,2))</x:f>
      </x:c>
      <x:c r="O331" s="210" t="str">
        <x:f>IF($N331="","",ROUNDDOWN(ROUNDDOWN($N331,2)*$R331,3))</x:f>
      </x:c>
      <x:c r="P331" s="215"/>
      <x:c r="Q331" s="222" t="str">
        <x:f>IF($E331="","",IF(OR(RIGHT(UPPER(TRIM(SUBSTITUTE(CLEAN($E331),CHAR(160)," "))),2)="P1",RIGHT(UPPER(TRIM(SUBSTITUTE(CLEAN($E331),CHAR(160)," "))),2)="P2",RIGHT(UPPER(TRIM(SUBSTITUTE(CLEAN($E331),CHAR(160)," "))),2)="P3",RIGHT(UPPER(TRIM(SUBSTITUTE(CLEAN($E331),CHAR(160)," "))),2)="P4",ISNUMBER(SEARCH("INDUSTRIAL HYGIENIST 1 ENVIRONMENT",UPPER(TRIM(SUBSTITUTE(CLEAN($E331),CHAR(160)," ")))))),"PS","GS"))</x:f>
      </x:c>
      <x:c r="R331" s="223" t="str">
        <x:f>IF($Q331="","",IF($Q331="PS",'Data'!$O$5,'Data'!$O$4))</x:f>
      </x:c>
      <x:c r="S331" s="224" t="str">
        <x:f>IF($E331="","",IFERROR(VLOOKUP($E331,'Data'!$A$2:$B$114,2,FALSE),""))</x:f>
      </x:c>
      <x:c r="T331" s="217" t="str">
        <x:f>IF($K331="","",VLOOKUP($K331,'Data'!$I$2:$L$6,2,TRUE))</x:f>
      </x:c>
      <x:c r="U331" s="217"/>
      <x:c r="V331" s="221" t="str">
        <x:f>IF($L331="","",$J331*$L331)</x:f>
      </x:c>
      <x:c r="W331" s="221" t="str">
        <x:f>IF($V331="","",$J331+$V331)</x:f>
      </x:c>
      <x:c r="X331" s="217" t="str">
        <x:f>IF($Y331="Ready","Review and inform supplier","")</x:f>
      </x:c>
      <x:c r="Y331" s="217" t="str">
        <x:f>IF(AND($B331="",$E331="",$I331=""),"",IF($B331="","Missing Assignment Number",IF($E331="","Select Job Title",IF($I331="","Enter Pay Rate",IF($S331="","Job Title not found","Ready")))))</x:f>
      </x:c>
    </x:row>
    <x:row r="332" ht="22" customHeight="1">
      <x:c r="A332" s="205"/>
      <x:c r="B332" s="205"/>
      <x:c r="C332" s="206"/>
      <x:c r="D332" s="205"/>
      <x:c r="E332" s="207"/>
      <x:c r="F332" s="208"/>
      <x:c r="G332" s="209" t="str">
        <x:f>IF($S332="","",IFERROR(VLOOKUP($S332,'Data'!$D$2:$G$14,3,FALSE),""))</x:f>
      </x:c>
      <x:c r="H332" s="210" t="str">
        <x:f>IF($G332="","",$G332/'Data'!$O$2/'Data'!$O$3)</x:f>
      </x:c>
      <x:c r="I332" s="211"/>
      <x:c r="J332" s="209" t="str">
        <x:f>IF(OR($E332="",$I332=""),"",$I332*'Data'!$O$2*'Data'!$O$3)</x:f>
      </x:c>
      <x:c r="K332" s="212" t="str">
        <x:f>IF(OR($J332="",$G332=""),"",$J332/$G332)</x:f>
      </x:c>
      <x:c r="L332" s="213" t="str">
        <x:f>IF($K332="","",VLOOKUP($K332,'Data'!$I$2:$L$6,3,TRUE))</x:f>
      </x:c>
      <x:c r="M332" s="210" t="str">
        <x:f>IF($L332="","",$I332*$L332)</x:f>
      </x:c>
      <x:c r="N332" s="214" t="str">
        <x:f>IF($M332="","",ROUNDDOWN($I332+$M332,2))</x:f>
      </x:c>
      <x:c r="O332" s="210" t="str">
        <x:f>IF($N332="","",ROUNDDOWN(ROUNDDOWN($N332,2)*$R332,3))</x:f>
      </x:c>
      <x:c r="P332" s="215"/>
      <x:c r="Q332" s="222" t="str">
        <x:f>IF($E332="","",IF(OR(RIGHT(UPPER(TRIM(SUBSTITUTE(CLEAN($E332),CHAR(160)," "))),2)="P1",RIGHT(UPPER(TRIM(SUBSTITUTE(CLEAN($E332),CHAR(160)," "))),2)="P2",RIGHT(UPPER(TRIM(SUBSTITUTE(CLEAN($E332),CHAR(160)," "))),2)="P3",RIGHT(UPPER(TRIM(SUBSTITUTE(CLEAN($E332),CHAR(160)," "))),2)="P4",ISNUMBER(SEARCH("INDUSTRIAL HYGIENIST 1 ENVIRONMENT",UPPER(TRIM(SUBSTITUTE(CLEAN($E332),CHAR(160)," ")))))),"PS","GS"))</x:f>
      </x:c>
      <x:c r="R332" s="223" t="str">
        <x:f>IF($Q332="","",IF($Q332="PS",'Data'!$O$5,'Data'!$O$4))</x:f>
      </x:c>
      <x:c r="S332" s="224" t="str">
        <x:f>IF($E332="","",IFERROR(VLOOKUP($E332,'Data'!$A$2:$B$114,2,FALSE),""))</x:f>
      </x:c>
      <x:c r="T332" s="217" t="str">
        <x:f>IF($K332="","",VLOOKUP($K332,'Data'!$I$2:$L$6,2,TRUE))</x:f>
      </x:c>
      <x:c r="U332" s="217"/>
      <x:c r="V332" s="221" t="str">
        <x:f>IF($L332="","",$J332*$L332)</x:f>
      </x:c>
      <x:c r="W332" s="221" t="str">
        <x:f>IF($V332="","",$J332+$V332)</x:f>
      </x:c>
      <x:c r="X332" s="217" t="str">
        <x:f>IF($Y332="Ready","Review and inform supplier","")</x:f>
      </x:c>
      <x:c r="Y332" s="217" t="str">
        <x:f>IF(AND($B332="",$E332="",$I332=""),"",IF($B332="","Missing Assignment Number",IF($E332="","Select Job Title",IF($I332="","Enter Pay Rate",IF($S332="","Job Title not found","Ready")))))</x:f>
      </x:c>
    </x:row>
    <x:row r="333" ht="22" customHeight="1">
      <x:c r="A333" s="205"/>
      <x:c r="B333" s="205"/>
      <x:c r="C333" s="206"/>
      <x:c r="D333" s="205"/>
      <x:c r="E333" s="207"/>
      <x:c r="F333" s="208"/>
      <x:c r="G333" s="209" t="str">
        <x:f>IF($S333="","",IFERROR(VLOOKUP($S333,'Data'!$D$2:$G$14,3,FALSE),""))</x:f>
      </x:c>
      <x:c r="H333" s="210" t="str">
        <x:f>IF($G333="","",$G333/'Data'!$O$2/'Data'!$O$3)</x:f>
      </x:c>
      <x:c r="I333" s="211"/>
      <x:c r="J333" s="209" t="str">
        <x:f>IF(OR($E333="",$I333=""),"",$I333*'Data'!$O$2*'Data'!$O$3)</x:f>
      </x:c>
      <x:c r="K333" s="212" t="str">
        <x:f>IF(OR($J333="",$G333=""),"",$J333/$G333)</x:f>
      </x:c>
      <x:c r="L333" s="213" t="str">
        <x:f>IF($K333="","",VLOOKUP($K333,'Data'!$I$2:$L$6,3,TRUE))</x:f>
      </x:c>
      <x:c r="M333" s="210" t="str">
        <x:f>IF($L333="","",$I333*$L333)</x:f>
      </x:c>
      <x:c r="N333" s="214" t="str">
        <x:f>IF($M333="","",ROUNDDOWN($I333+$M333,2))</x:f>
      </x:c>
      <x:c r="O333" s="210" t="str">
        <x:f>IF($N333="","",ROUNDDOWN(ROUNDDOWN($N333,2)*$R333,3))</x:f>
      </x:c>
      <x:c r="P333" s="215"/>
      <x:c r="Q333" s="222" t="str">
        <x:f>IF($E333="","",IF(OR(RIGHT(UPPER(TRIM(SUBSTITUTE(CLEAN($E333),CHAR(160)," "))),2)="P1",RIGHT(UPPER(TRIM(SUBSTITUTE(CLEAN($E333),CHAR(160)," "))),2)="P2",RIGHT(UPPER(TRIM(SUBSTITUTE(CLEAN($E333),CHAR(160)," "))),2)="P3",RIGHT(UPPER(TRIM(SUBSTITUTE(CLEAN($E333),CHAR(160)," "))),2)="P4",ISNUMBER(SEARCH("INDUSTRIAL HYGIENIST 1 ENVIRONMENT",UPPER(TRIM(SUBSTITUTE(CLEAN($E333),CHAR(160)," ")))))),"PS","GS"))</x:f>
      </x:c>
      <x:c r="R333" s="223" t="str">
        <x:f>IF($Q333="","",IF($Q333="PS",'Data'!$O$5,'Data'!$O$4))</x:f>
      </x:c>
      <x:c r="S333" s="224" t="str">
        <x:f>IF($E333="","",IFERROR(VLOOKUP($E333,'Data'!$A$2:$B$114,2,FALSE),""))</x:f>
      </x:c>
      <x:c r="T333" s="217" t="str">
        <x:f>IF($K333="","",VLOOKUP($K333,'Data'!$I$2:$L$6,2,TRUE))</x:f>
      </x:c>
      <x:c r="U333" s="217"/>
      <x:c r="V333" s="221" t="str">
        <x:f>IF($L333="","",$J333*$L333)</x:f>
      </x:c>
      <x:c r="W333" s="221" t="str">
        <x:f>IF($V333="","",$J333+$V333)</x:f>
      </x:c>
      <x:c r="X333" s="217" t="str">
        <x:f>IF($Y333="Ready","Review and inform supplier","")</x:f>
      </x:c>
      <x:c r="Y333" s="217" t="str">
        <x:f>IF(AND($B333="",$E333="",$I333=""),"",IF($B333="","Missing Assignment Number",IF($E333="","Select Job Title",IF($I333="","Enter Pay Rate",IF($S333="","Job Title not found","Ready")))))</x:f>
      </x:c>
    </x:row>
    <x:row r="334" ht="22" customHeight="1">
      <x:c r="A334" s="205"/>
      <x:c r="B334" s="205"/>
      <x:c r="C334" s="206"/>
      <x:c r="D334" s="205"/>
      <x:c r="E334" s="207"/>
      <x:c r="F334" s="208"/>
      <x:c r="G334" s="209" t="str">
        <x:f>IF($S334="","",IFERROR(VLOOKUP($S334,'Data'!$D$2:$G$14,3,FALSE),""))</x:f>
      </x:c>
      <x:c r="H334" s="210" t="str">
        <x:f>IF($G334="","",$G334/'Data'!$O$2/'Data'!$O$3)</x:f>
      </x:c>
      <x:c r="I334" s="211"/>
      <x:c r="J334" s="209" t="str">
        <x:f>IF(OR($E334="",$I334=""),"",$I334*'Data'!$O$2*'Data'!$O$3)</x:f>
      </x:c>
      <x:c r="K334" s="212" t="str">
        <x:f>IF(OR($J334="",$G334=""),"",$J334/$G334)</x:f>
      </x:c>
      <x:c r="L334" s="213" t="str">
        <x:f>IF($K334="","",VLOOKUP($K334,'Data'!$I$2:$L$6,3,TRUE))</x:f>
      </x:c>
      <x:c r="M334" s="210" t="str">
        <x:f>IF($L334="","",$I334*$L334)</x:f>
      </x:c>
      <x:c r="N334" s="214" t="str">
        <x:f>IF($M334="","",ROUNDDOWN($I334+$M334,2))</x:f>
      </x:c>
      <x:c r="O334" s="210" t="str">
        <x:f>IF($N334="","",ROUNDDOWN(ROUNDDOWN($N334,2)*$R334,3))</x:f>
      </x:c>
      <x:c r="P334" s="215"/>
      <x:c r="Q334" s="222" t="str">
        <x:f>IF($E334="","",IF(OR(RIGHT(UPPER(TRIM(SUBSTITUTE(CLEAN($E334),CHAR(160)," "))),2)="P1",RIGHT(UPPER(TRIM(SUBSTITUTE(CLEAN($E334),CHAR(160)," "))),2)="P2",RIGHT(UPPER(TRIM(SUBSTITUTE(CLEAN($E334),CHAR(160)," "))),2)="P3",RIGHT(UPPER(TRIM(SUBSTITUTE(CLEAN($E334),CHAR(160)," "))),2)="P4",ISNUMBER(SEARCH("INDUSTRIAL HYGIENIST 1 ENVIRONMENT",UPPER(TRIM(SUBSTITUTE(CLEAN($E334),CHAR(160)," ")))))),"PS","GS"))</x:f>
      </x:c>
      <x:c r="R334" s="223" t="str">
        <x:f>IF($Q334="","",IF($Q334="PS",'Data'!$O$5,'Data'!$O$4))</x:f>
      </x:c>
      <x:c r="S334" s="224" t="str">
        <x:f>IF($E334="","",IFERROR(VLOOKUP($E334,'Data'!$A$2:$B$114,2,FALSE),""))</x:f>
      </x:c>
      <x:c r="T334" s="217" t="str">
        <x:f>IF($K334="","",VLOOKUP($K334,'Data'!$I$2:$L$6,2,TRUE))</x:f>
      </x:c>
      <x:c r="U334" s="217"/>
      <x:c r="V334" s="221" t="str">
        <x:f>IF($L334="","",$J334*$L334)</x:f>
      </x:c>
      <x:c r="W334" s="221" t="str">
        <x:f>IF($V334="","",$J334+$V334)</x:f>
      </x:c>
      <x:c r="X334" s="217" t="str">
        <x:f>IF($Y334="Ready","Review and inform supplier","")</x:f>
      </x:c>
      <x:c r="Y334" s="217" t="str">
        <x:f>IF(AND($B334="",$E334="",$I334=""),"",IF($B334="","Missing Assignment Number",IF($E334="","Select Job Title",IF($I334="","Enter Pay Rate",IF($S334="","Job Title not found","Ready")))))</x:f>
      </x:c>
    </x:row>
    <x:row r="335" ht="22" customHeight="1">
      <x:c r="A335" s="205"/>
      <x:c r="B335" s="205"/>
      <x:c r="C335" s="206"/>
      <x:c r="D335" s="205"/>
      <x:c r="E335" s="207"/>
      <x:c r="F335" s="208"/>
      <x:c r="G335" s="209" t="str">
        <x:f>IF($S335="","",IFERROR(VLOOKUP($S335,'Data'!$D$2:$G$14,3,FALSE),""))</x:f>
      </x:c>
      <x:c r="H335" s="210" t="str">
        <x:f>IF($G335="","",$G335/'Data'!$O$2/'Data'!$O$3)</x:f>
      </x:c>
      <x:c r="I335" s="211"/>
      <x:c r="J335" s="209" t="str">
        <x:f>IF(OR($E335="",$I335=""),"",$I335*'Data'!$O$2*'Data'!$O$3)</x:f>
      </x:c>
      <x:c r="K335" s="212" t="str">
        <x:f>IF(OR($J335="",$G335=""),"",$J335/$G335)</x:f>
      </x:c>
      <x:c r="L335" s="213" t="str">
        <x:f>IF($K335="","",VLOOKUP($K335,'Data'!$I$2:$L$6,3,TRUE))</x:f>
      </x:c>
      <x:c r="M335" s="210" t="str">
        <x:f>IF($L335="","",$I335*$L335)</x:f>
      </x:c>
      <x:c r="N335" s="214" t="str">
        <x:f>IF($M335="","",ROUNDDOWN($I335+$M335,2))</x:f>
      </x:c>
      <x:c r="O335" s="210" t="str">
        <x:f>IF($N335="","",ROUNDDOWN(ROUNDDOWN($N335,2)*$R335,3))</x:f>
      </x:c>
      <x:c r="P335" s="215"/>
      <x:c r="Q335" s="222" t="str">
        <x:f>IF($E335="","",IF(OR(RIGHT(UPPER(TRIM(SUBSTITUTE(CLEAN($E335),CHAR(160)," "))),2)="P1",RIGHT(UPPER(TRIM(SUBSTITUTE(CLEAN($E335),CHAR(160)," "))),2)="P2",RIGHT(UPPER(TRIM(SUBSTITUTE(CLEAN($E335),CHAR(160)," "))),2)="P3",RIGHT(UPPER(TRIM(SUBSTITUTE(CLEAN($E335),CHAR(160)," "))),2)="P4",ISNUMBER(SEARCH("INDUSTRIAL HYGIENIST 1 ENVIRONMENT",UPPER(TRIM(SUBSTITUTE(CLEAN($E335),CHAR(160)," ")))))),"PS","GS"))</x:f>
      </x:c>
      <x:c r="R335" s="223" t="str">
        <x:f>IF($Q335="","",IF($Q335="PS",'Data'!$O$5,'Data'!$O$4))</x:f>
      </x:c>
      <x:c r="S335" s="224" t="str">
        <x:f>IF($E335="","",IFERROR(VLOOKUP($E335,'Data'!$A$2:$B$114,2,FALSE),""))</x:f>
      </x:c>
      <x:c r="T335" s="217" t="str">
        <x:f>IF($K335="","",VLOOKUP($K335,'Data'!$I$2:$L$6,2,TRUE))</x:f>
      </x:c>
      <x:c r="U335" s="217"/>
      <x:c r="V335" s="221" t="str">
        <x:f>IF($L335="","",$J335*$L335)</x:f>
      </x:c>
      <x:c r="W335" s="221" t="str">
        <x:f>IF($V335="","",$J335+$V335)</x:f>
      </x:c>
      <x:c r="X335" s="217" t="str">
        <x:f>IF($Y335="Ready","Review and inform supplier","")</x:f>
      </x:c>
      <x:c r="Y335" s="217" t="str">
        <x:f>IF(AND($B335="",$E335="",$I335=""),"",IF($B335="","Missing Assignment Number",IF($E335="","Select Job Title",IF($I335="","Enter Pay Rate",IF($S335="","Job Title not found","Ready")))))</x:f>
      </x:c>
    </x:row>
    <x:row r="336" ht="22" customHeight="1">
      <x:c r="A336" s="205"/>
      <x:c r="B336" s="205"/>
      <x:c r="C336" s="206"/>
      <x:c r="D336" s="205"/>
      <x:c r="E336" s="207"/>
      <x:c r="F336" s="208"/>
      <x:c r="G336" s="209" t="str">
        <x:f>IF($S336="","",IFERROR(VLOOKUP($S336,'Data'!$D$2:$G$14,3,FALSE),""))</x:f>
      </x:c>
      <x:c r="H336" s="210" t="str">
        <x:f>IF($G336="","",$G336/'Data'!$O$2/'Data'!$O$3)</x:f>
      </x:c>
      <x:c r="I336" s="211"/>
      <x:c r="J336" s="209" t="str">
        <x:f>IF(OR($E336="",$I336=""),"",$I336*'Data'!$O$2*'Data'!$O$3)</x:f>
      </x:c>
      <x:c r="K336" s="212" t="str">
        <x:f>IF(OR($J336="",$G336=""),"",$J336/$G336)</x:f>
      </x:c>
      <x:c r="L336" s="213" t="str">
        <x:f>IF($K336="","",VLOOKUP($K336,'Data'!$I$2:$L$6,3,TRUE))</x:f>
      </x:c>
      <x:c r="M336" s="210" t="str">
        <x:f>IF($L336="","",$I336*$L336)</x:f>
      </x:c>
      <x:c r="N336" s="214" t="str">
        <x:f>IF($M336="","",ROUNDDOWN($I336+$M336,2))</x:f>
      </x:c>
      <x:c r="O336" s="210" t="str">
        <x:f>IF($N336="","",ROUNDDOWN(ROUNDDOWN($N336,2)*$R336,3))</x:f>
      </x:c>
      <x:c r="P336" s="215"/>
      <x:c r="Q336" s="222" t="str">
        <x:f>IF($E336="","",IF(OR(RIGHT(UPPER(TRIM(SUBSTITUTE(CLEAN($E336),CHAR(160)," "))),2)="P1",RIGHT(UPPER(TRIM(SUBSTITUTE(CLEAN($E336),CHAR(160)," "))),2)="P2",RIGHT(UPPER(TRIM(SUBSTITUTE(CLEAN($E336),CHAR(160)," "))),2)="P3",RIGHT(UPPER(TRIM(SUBSTITUTE(CLEAN($E336),CHAR(160)," "))),2)="P4",ISNUMBER(SEARCH("INDUSTRIAL HYGIENIST 1 ENVIRONMENT",UPPER(TRIM(SUBSTITUTE(CLEAN($E336),CHAR(160)," ")))))),"PS","GS"))</x:f>
      </x:c>
      <x:c r="R336" s="223" t="str">
        <x:f>IF($Q336="","",IF($Q336="PS",'Data'!$O$5,'Data'!$O$4))</x:f>
      </x:c>
      <x:c r="S336" s="224" t="str">
        <x:f>IF($E336="","",IFERROR(VLOOKUP($E336,'Data'!$A$2:$B$114,2,FALSE),""))</x:f>
      </x:c>
      <x:c r="T336" s="217" t="str">
        <x:f>IF($K336="","",VLOOKUP($K336,'Data'!$I$2:$L$6,2,TRUE))</x:f>
      </x:c>
      <x:c r="U336" s="217"/>
      <x:c r="V336" s="221" t="str">
        <x:f>IF($L336="","",$J336*$L336)</x:f>
      </x:c>
      <x:c r="W336" s="221" t="str">
        <x:f>IF($V336="","",$J336+$V336)</x:f>
      </x:c>
      <x:c r="X336" s="217" t="str">
        <x:f>IF($Y336="Ready","Review and inform supplier","")</x:f>
      </x:c>
      <x:c r="Y336" s="217" t="str">
        <x:f>IF(AND($B336="",$E336="",$I336=""),"",IF($B336="","Missing Assignment Number",IF($E336="","Select Job Title",IF($I336="","Enter Pay Rate",IF($S336="","Job Title not found","Ready")))))</x:f>
      </x:c>
    </x:row>
    <x:row r="337" ht="22" customHeight="1">
      <x:c r="A337" s="205"/>
      <x:c r="B337" s="205"/>
      <x:c r="C337" s="206"/>
      <x:c r="D337" s="205"/>
      <x:c r="E337" s="207"/>
      <x:c r="F337" s="208"/>
      <x:c r="G337" s="209" t="str">
        <x:f>IF($S337="","",IFERROR(VLOOKUP($S337,'Data'!$D$2:$G$14,3,FALSE),""))</x:f>
      </x:c>
      <x:c r="H337" s="210" t="str">
        <x:f>IF($G337="","",$G337/'Data'!$O$2/'Data'!$O$3)</x:f>
      </x:c>
      <x:c r="I337" s="211"/>
      <x:c r="J337" s="209" t="str">
        <x:f>IF(OR($E337="",$I337=""),"",$I337*'Data'!$O$2*'Data'!$O$3)</x:f>
      </x:c>
      <x:c r="K337" s="212" t="str">
        <x:f>IF(OR($J337="",$G337=""),"",$J337/$G337)</x:f>
      </x:c>
      <x:c r="L337" s="213" t="str">
        <x:f>IF($K337="","",VLOOKUP($K337,'Data'!$I$2:$L$6,3,TRUE))</x:f>
      </x:c>
      <x:c r="M337" s="210" t="str">
        <x:f>IF($L337="","",$I337*$L337)</x:f>
      </x:c>
      <x:c r="N337" s="214" t="str">
        <x:f>IF($M337="","",ROUNDDOWN($I337+$M337,2))</x:f>
      </x:c>
      <x:c r="O337" s="210" t="str">
        <x:f>IF($N337="","",ROUNDDOWN(ROUNDDOWN($N337,2)*$R337,3))</x:f>
      </x:c>
      <x:c r="P337" s="215"/>
      <x:c r="Q337" s="222" t="str">
        <x:f>IF($E337="","",IF(OR(RIGHT(UPPER(TRIM(SUBSTITUTE(CLEAN($E337),CHAR(160)," "))),2)="P1",RIGHT(UPPER(TRIM(SUBSTITUTE(CLEAN($E337),CHAR(160)," "))),2)="P2",RIGHT(UPPER(TRIM(SUBSTITUTE(CLEAN($E337),CHAR(160)," "))),2)="P3",RIGHT(UPPER(TRIM(SUBSTITUTE(CLEAN($E337),CHAR(160)," "))),2)="P4",ISNUMBER(SEARCH("INDUSTRIAL HYGIENIST 1 ENVIRONMENT",UPPER(TRIM(SUBSTITUTE(CLEAN($E337),CHAR(160)," ")))))),"PS","GS"))</x:f>
      </x:c>
      <x:c r="R337" s="223" t="str">
        <x:f>IF($Q337="","",IF($Q337="PS",'Data'!$O$5,'Data'!$O$4))</x:f>
      </x:c>
      <x:c r="S337" s="224" t="str">
        <x:f>IF($E337="","",IFERROR(VLOOKUP($E337,'Data'!$A$2:$B$114,2,FALSE),""))</x:f>
      </x:c>
      <x:c r="T337" s="217" t="str">
        <x:f>IF($K337="","",VLOOKUP($K337,'Data'!$I$2:$L$6,2,TRUE))</x:f>
      </x:c>
      <x:c r="U337" s="217"/>
      <x:c r="V337" s="221" t="str">
        <x:f>IF($L337="","",$J337*$L337)</x:f>
      </x:c>
      <x:c r="W337" s="221" t="str">
        <x:f>IF($V337="","",$J337+$V337)</x:f>
      </x:c>
      <x:c r="X337" s="217" t="str">
        <x:f>IF($Y337="Ready","Review and inform supplier","")</x:f>
      </x:c>
      <x:c r="Y337" s="217" t="str">
        <x:f>IF(AND($B337="",$E337="",$I337=""),"",IF($B337="","Missing Assignment Number",IF($E337="","Select Job Title",IF($I337="","Enter Pay Rate",IF($S337="","Job Title not found","Ready")))))</x:f>
      </x:c>
    </x:row>
    <x:row r="338" ht="22" customHeight="1">
      <x:c r="A338" s="205"/>
      <x:c r="B338" s="205"/>
      <x:c r="C338" s="206"/>
      <x:c r="D338" s="205"/>
      <x:c r="E338" s="207"/>
      <x:c r="F338" s="208"/>
      <x:c r="G338" s="209" t="str">
        <x:f>IF($S338="","",IFERROR(VLOOKUP($S338,'Data'!$D$2:$G$14,3,FALSE),""))</x:f>
      </x:c>
      <x:c r="H338" s="210" t="str">
        <x:f>IF($G338="","",$G338/'Data'!$O$2/'Data'!$O$3)</x:f>
      </x:c>
      <x:c r="I338" s="211"/>
      <x:c r="J338" s="209" t="str">
        <x:f>IF(OR($E338="",$I338=""),"",$I338*'Data'!$O$2*'Data'!$O$3)</x:f>
      </x:c>
      <x:c r="K338" s="212" t="str">
        <x:f>IF(OR($J338="",$G338=""),"",$J338/$G338)</x:f>
      </x:c>
      <x:c r="L338" s="213" t="str">
        <x:f>IF($K338="","",VLOOKUP($K338,'Data'!$I$2:$L$6,3,TRUE))</x:f>
      </x:c>
      <x:c r="M338" s="210" t="str">
        <x:f>IF($L338="","",$I338*$L338)</x:f>
      </x:c>
      <x:c r="N338" s="214" t="str">
        <x:f>IF($M338="","",ROUNDDOWN($I338+$M338,2))</x:f>
      </x:c>
      <x:c r="O338" s="210" t="str">
        <x:f>IF($N338="","",ROUNDDOWN(ROUNDDOWN($N338,2)*$R338,3))</x:f>
      </x:c>
      <x:c r="P338" s="215"/>
      <x:c r="Q338" s="222" t="str">
        <x:f>IF($E338="","",IF(OR(RIGHT(UPPER(TRIM(SUBSTITUTE(CLEAN($E338),CHAR(160)," "))),2)="P1",RIGHT(UPPER(TRIM(SUBSTITUTE(CLEAN($E338),CHAR(160)," "))),2)="P2",RIGHT(UPPER(TRIM(SUBSTITUTE(CLEAN($E338),CHAR(160)," "))),2)="P3",RIGHT(UPPER(TRIM(SUBSTITUTE(CLEAN($E338),CHAR(160)," "))),2)="P4",ISNUMBER(SEARCH("INDUSTRIAL HYGIENIST 1 ENVIRONMENT",UPPER(TRIM(SUBSTITUTE(CLEAN($E338),CHAR(160)," ")))))),"PS","GS"))</x:f>
      </x:c>
      <x:c r="R338" s="223" t="str">
        <x:f>IF($Q338="","",IF($Q338="PS",'Data'!$O$5,'Data'!$O$4))</x:f>
      </x:c>
      <x:c r="S338" s="224" t="str">
        <x:f>IF($E338="","",IFERROR(VLOOKUP($E338,'Data'!$A$2:$B$114,2,FALSE),""))</x:f>
      </x:c>
      <x:c r="T338" s="217" t="str">
        <x:f>IF($K338="","",VLOOKUP($K338,'Data'!$I$2:$L$6,2,TRUE))</x:f>
      </x:c>
      <x:c r="U338" s="217"/>
      <x:c r="V338" s="221" t="str">
        <x:f>IF($L338="","",$J338*$L338)</x:f>
      </x:c>
      <x:c r="W338" s="221" t="str">
        <x:f>IF($V338="","",$J338+$V338)</x:f>
      </x:c>
      <x:c r="X338" s="217" t="str">
        <x:f>IF($Y338="Ready","Review and inform supplier","")</x:f>
      </x:c>
      <x:c r="Y338" s="217" t="str">
        <x:f>IF(AND($B338="",$E338="",$I338=""),"",IF($B338="","Missing Assignment Number",IF($E338="","Select Job Title",IF($I338="","Enter Pay Rate",IF($S338="","Job Title not found","Ready")))))</x:f>
      </x:c>
    </x:row>
    <x:row r="339" ht="22" customHeight="1">
      <x:c r="A339" s="205"/>
      <x:c r="B339" s="205"/>
      <x:c r="C339" s="206"/>
      <x:c r="D339" s="205"/>
      <x:c r="E339" s="207"/>
      <x:c r="F339" s="208"/>
      <x:c r="G339" s="209" t="str">
        <x:f>IF($S339="","",IFERROR(VLOOKUP($S339,'Data'!$D$2:$G$14,3,FALSE),""))</x:f>
      </x:c>
      <x:c r="H339" s="210" t="str">
        <x:f>IF($G339="","",$G339/'Data'!$O$2/'Data'!$O$3)</x:f>
      </x:c>
      <x:c r="I339" s="211"/>
      <x:c r="J339" s="209" t="str">
        <x:f>IF(OR($E339="",$I339=""),"",$I339*'Data'!$O$2*'Data'!$O$3)</x:f>
      </x:c>
      <x:c r="K339" s="212" t="str">
        <x:f>IF(OR($J339="",$G339=""),"",$J339/$G339)</x:f>
      </x:c>
      <x:c r="L339" s="213" t="str">
        <x:f>IF($K339="","",VLOOKUP($K339,'Data'!$I$2:$L$6,3,TRUE))</x:f>
      </x:c>
      <x:c r="M339" s="210" t="str">
        <x:f>IF($L339="","",$I339*$L339)</x:f>
      </x:c>
      <x:c r="N339" s="214" t="str">
        <x:f>IF($M339="","",ROUNDDOWN($I339+$M339,2))</x:f>
      </x:c>
      <x:c r="O339" s="210" t="str">
        <x:f>IF($N339="","",ROUNDDOWN(ROUNDDOWN($N339,2)*$R339,3))</x:f>
      </x:c>
      <x:c r="P339" s="215"/>
      <x:c r="Q339" s="222" t="str">
        <x:f>IF($E339="","",IF(OR(RIGHT(UPPER(TRIM(SUBSTITUTE(CLEAN($E339),CHAR(160)," "))),2)="P1",RIGHT(UPPER(TRIM(SUBSTITUTE(CLEAN($E339),CHAR(160)," "))),2)="P2",RIGHT(UPPER(TRIM(SUBSTITUTE(CLEAN($E339),CHAR(160)," "))),2)="P3",RIGHT(UPPER(TRIM(SUBSTITUTE(CLEAN($E339),CHAR(160)," "))),2)="P4",ISNUMBER(SEARCH("INDUSTRIAL HYGIENIST 1 ENVIRONMENT",UPPER(TRIM(SUBSTITUTE(CLEAN($E339),CHAR(160)," ")))))),"PS","GS"))</x:f>
      </x:c>
      <x:c r="R339" s="223" t="str">
        <x:f>IF($Q339="","",IF($Q339="PS",'Data'!$O$5,'Data'!$O$4))</x:f>
      </x:c>
      <x:c r="S339" s="224" t="str">
        <x:f>IF($E339="","",IFERROR(VLOOKUP($E339,'Data'!$A$2:$B$114,2,FALSE),""))</x:f>
      </x:c>
      <x:c r="T339" s="217" t="str">
        <x:f>IF($K339="","",VLOOKUP($K339,'Data'!$I$2:$L$6,2,TRUE))</x:f>
      </x:c>
      <x:c r="U339" s="217"/>
      <x:c r="V339" s="221" t="str">
        <x:f>IF($L339="","",$J339*$L339)</x:f>
      </x:c>
      <x:c r="W339" s="221" t="str">
        <x:f>IF($V339="","",$J339+$V339)</x:f>
      </x:c>
      <x:c r="X339" s="217" t="str">
        <x:f>IF($Y339="Ready","Review and inform supplier","")</x:f>
      </x:c>
      <x:c r="Y339" s="217" t="str">
        <x:f>IF(AND($B339="",$E339="",$I339=""),"",IF($B339="","Missing Assignment Number",IF($E339="","Select Job Title",IF($I339="","Enter Pay Rate",IF($S339="","Job Title not found","Ready")))))</x:f>
      </x:c>
    </x:row>
    <x:row r="340" ht="22" customHeight="1">
      <x:c r="A340" s="205"/>
      <x:c r="B340" s="205"/>
      <x:c r="C340" s="206"/>
      <x:c r="D340" s="205"/>
      <x:c r="E340" s="207"/>
      <x:c r="F340" s="208"/>
      <x:c r="G340" s="209" t="str">
        <x:f>IF($S340="","",IFERROR(VLOOKUP($S340,'Data'!$D$2:$G$14,3,FALSE),""))</x:f>
      </x:c>
      <x:c r="H340" s="210" t="str">
        <x:f>IF($G340="","",$G340/'Data'!$O$2/'Data'!$O$3)</x:f>
      </x:c>
      <x:c r="I340" s="211"/>
      <x:c r="J340" s="209" t="str">
        <x:f>IF(OR($E340="",$I340=""),"",$I340*'Data'!$O$2*'Data'!$O$3)</x:f>
      </x:c>
      <x:c r="K340" s="212" t="str">
        <x:f>IF(OR($J340="",$G340=""),"",$J340/$G340)</x:f>
      </x:c>
      <x:c r="L340" s="213" t="str">
        <x:f>IF($K340="","",VLOOKUP($K340,'Data'!$I$2:$L$6,3,TRUE))</x:f>
      </x:c>
      <x:c r="M340" s="210" t="str">
        <x:f>IF($L340="","",$I340*$L340)</x:f>
      </x:c>
      <x:c r="N340" s="214" t="str">
        <x:f>IF($M340="","",ROUNDDOWN($I340+$M340,2))</x:f>
      </x:c>
      <x:c r="O340" s="210" t="str">
        <x:f>IF($N340="","",ROUNDDOWN(ROUNDDOWN($N340,2)*$R340,3))</x:f>
      </x:c>
      <x:c r="P340" s="215"/>
      <x:c r="Q340" s="222" t="str">
        <x:f>IF($E340="","",IF(OR(RIGHT(UPPER(TRIM(SUBSTITUTE(CLEAN($E340),CHAR(160)," "))),2)="P1",RIGHT(UPPER(TRIM(SUBSTITUTE(CLEAN($E340),CHAR(160)," "))),2)="P2",RIGHT(UPPER(TRIM(SUBSTITUTE(CLEAN($E340),CHAR(160)," "))),2)="P3",RIGHT(UPPER(TRIM(SUBSTITUTE(CLEAN($E340),CHAR(160)," "))),2)="P4",ISNUMBER(SEARCH("INDUSTRIAL HYGIENIST 1 ENVIRONMENT",UPPER(TRIM(SUBSTITUTE(CLEAN($E340),CHAR(160)," ")))))),"PS","GS"))</x:f>
      </x:c>
      <x:c r="R340" s="223" t="str">
        <x:f>IF($Q340="","",IF($Q340="PS",'Data'!$O$5,'Data'!$O$4))</x:f>
      </x:c>
      <x:c r="S340" s="224" t="str">
        <x:f>IF($E340="","",IFERROR(VLOOKUP($E340,'Data'!$A$2:$B$114,2,FALSE),""))</x:f>
      </x:c>
      <x:c r="T340" s="217" t="str">
        <x:f>IF($K340="","",VLOOKUP($K340,'Data'!$I$2:$L$6,2,TRUE))</x:f>
      </x:c>
      <x:c r="U340" s="217"/>
      <x:c r="V340" s="221" t="str">
        <x:f>IF($L340="","",$J340*$L340)</x:f>
      </x:c>
      <x:c r="W340" s="221" t="str">
        <x:f>IF($V340="","",$J340+$V340)</x:f>
      </x:c>
      <x:c r="X340" s="217" t="str">
        <x:f>IF($Y340="Ready","Review and inform supplier","")</x:f>
      </x:c>
      <x:c r="Y340" s="217" t="str">
        <x:f>IF(AND($B340="",$E340="",$I340=""),"",IF($B340="","Missing Assignment Number",IF($E340="","Select Job Title",IF($I340="","Enter Pay Rate",IF($S340="","Job Title not found","Ready")))))</x:f>
      </x:c>
    </x:row>
    <x:row r="341" ht="22" customHeight="1">
      <x:c r="A341" s="205"/>
      <x:c r="B341" s="205"/>
      <x:c r="C341" s="206"/>
      <x:c r="D341" s="205"/>
      <x:c r="E341" s="207"/>
      <x:c r="F341" s="208"/>
      <x:c r="G341" s="209" t="str">
        <x:f>IF($S341="","",IFERROR(VLOOKUP($S341,'Data'!$D$2:$G$14,3,FALSE),""))</x:f>
      </x:c>
      <x:c r="H341" s="210" t="str">
        <x:f>IF($G341="","",$G341/'Data'!$O$2/'Data'!$O$3)</x:f>
      </x:c>
      <x:c r="I341" s="211"/>
      <x:c r="J341" s="209" t="str">
        <x:f>IF(OR($E341="",$I341=""),"",$I341*'Data'!$O$2*'Data'!$O$3)</x:f>
      </x:c>
      <x:c r="K341" s="212" t="str">
        <x:f>IF(OR($J341="",$G341=""),"",$J341/$G341)</x:f>
      </x:c>
      <x:c r="L341" s="213" t="str">
        <x:f>IF($K341="","",VLOOKUP($K341,'Data'!$I$2:$L$6,3,TRUE))</x:f>
      </x:c>
      <x:c r="M341" s="210" t="str">
        <x:f>IF($L341="","",$I341*$L341)</x:f>
      </x:c>
      <x:c r="N341" s="214" t="str">
        <x:f>IF($M341="","",ROUNDDOWN($I341+$M341,2))</x:f>
      </x:c>
      <x:c r="O341" s="210" t="str">
        <x:f>IF($N341="","",ROUNDDOWN(ROUNDDOWN($N341,2)*$R341,3))</x:f>
      </x:c>
      <x:c r="P341" s="215"/>
      <x:c r="Q341" s="222" t="str">
        <x:f>IF($E341="","",IF(OR(RIGHT(UPPER(TRIM(SUBSTITUTE(CLEAN($E341),CHAR(160)," "))),2)="P1",RIGHT(UPPER(TRIM(SUBSTITUTE(CLEAN($E341),CHAR(160)," "))),2)="P2",RIGHT(UPPER(TRIM(SUBSTITUTE(CLEAN($E341),CHAR(160)," "))),2)="P3",RIGHT(UPPER(TRIM(SUBSTITUTE(CLEAN($E341),CHAR(160)," "))),2)="P4",ISNUMBER(SEARCH("INDUSTRIAL HYGIENIST 1 ENVIRONMENT",UPPER(TRIM(SUBSTITUTE(CLEAN($E341),CHAR(160)," ")))))),"PS","GS"))</x:f>
      </x:c>
      <x:c r="R341" s="223" t="str">
        <x:f>IF($Q341="","",IF($Q341="PS",'Data'!$O$5,'Data'!$O$4))</x:f>
      </x:c>
      <x:c r="S341" s="224" t="str">
        <x:f>IF($E341="","",IFERROR(VLOOKUP($E341,'Data'!$A$2:$B$114,2,FALSE),""))</x:f>
      </x:c>
      <x:c r="T341" s="217" t="str">
        <x:f>IF($K341="","",VLOOKUP($K341,'Data'!$I$2:$L$6,2,TRUE))</x:f>
      </x:c>
      <x:c r="U341" s="217"/>
      <x:c r="V341" s="221" t="str">
        <x:f>IF($L341="","",$J341*$L341)</x:f>
      </x:c>
      <x:c r="W341" s="221" t="str">
        <x:f>IF($V341="","",$J341+$V341)</x:f>
      </x:c>
      <x:c r="X341" s="217" t="str">
        <x:f>IF($Y341="Ready","Review and inform supplier","")</x:f>
      </x:c>
      <x:c r="Y341" s="217" t="str">
        <x:f>IF(AND($B341="",$E341="",$I341=""),"",IF($B341="","Missing Assignment Number",IF($E341="","Select Job Title",IF($I341="","Enter Pay Rate",IF($S341="","Job Title not found","Ready")))))</x:f>
      </x:c>
    </x:row>
    <x:row r="342" ht="22" customHeight="1">
      <x:c r="A342" s="205"/>
      <x:c r="B342" s="205"/>
      <x:c r="C342" s="206"/>
      <x:c r="D342" s="205"/>
      <x:c r="E342" s="207"/>
      <x:c r="F342" s="208"/>
      <x:c r="G342" s="209" t="str">
        <x:f>IF($S342="","",IFERROR(VLOOKUP($S342,'Data'!$D$2:$G$14,3,FALSE),""))</x:f>
      </x:c>
      <x:c r="H342" s="210" t="str">
        <x:f>IF($G342="","",$G342/'Data'!$O$2/'Data'!$O$3)</x:f>
      </x:c>
      <x:c r="I342" s="211"/>
      <x:c r="J342" s="209" t="str">
        <x:f>IF(OR($E342="",$I342=""),"",$I342*'Data'!$O$2*'Data'!$O$3)</x:f>
      </x:c>
      <x:c r="K342" s="212" t="str">
        <x:f>IF(OR($J342="",$G342=""),"",$J342/$G342)</x:f>
      </x:c>
      <x:c r="L342" s="213" t="str">
        <x:f>IF($K342="","",VLOOKUP($K342,'Data'!$I$2:$L$6,3,TRUE))</x:f>
      </x:c>
      <x:c r="M342" s="210" t="str">
        <x:f>IF($L342="","",$I342*$L342)</x:f>
      </x:c>
      <x:c r="N342" s="214" t="str">
        <x:f>IF($M342="","",ROUNDDOWN($I342+$M342,2))</x:f>
      </x:c>
      <x:c r="O342" s="210" t="str">
        <x:f>IF($N342="","",ROUNDDOWN(ROUNDDOWN($N342,2)*$R342,3))</x:f>
      </x:c>
      <x:c r="P342" s="215"/>
      <x:c r="Q342" s="222" t="str">
        <x:f>IF($E342="","",IF(OR(RIGHT(UPPER(TRIM(SUBSTITUTE(CLEAN($E342),CHAR(160)," "))),2)="P1",RIGHT(UPPER(TRIM(SUBSTITUTE(CLEAN($E342),CHAR(160)," "))),2)="P2",RIGHT(UPPER(TRIM(SUBSTITUTE(CLEAN($E342),CHAR(160)," "))),2)="P3",RIGHT(UPPER(TRIM(SUBSTITUTE(CLEAN($E342),CHAR(160)," "))),2)="P4",ISNUMBER(SEARCH("INDUSTRIAL HYGIENIST 1 ENVIRONMENT",UPPER(TRIM(SUBSTITUTE(CLEAN($E342),CHAR(160)," ")))))),"PS","GS"))</x:f>
      </x:c>
      <x:c r="R342" s="223" t="str">
        <x:f>IF($Q342="","",IF($Q342="PS",'Data'!$O$5,'Data'!$O$4))</x:f>
      </x:c>
      <x:c r="S342" s="224" t="str">
        <x:f>IF($E342="","",IFERROR(VLOOKUP($E342,'Data'!$A$2:$B$114,2,FALSE),""))</x:f>
      </x:c>
      <x:c r="T342" s="217" t="str">
        <x:f>IF($K342="","",VLOOKUP($K342,'Data'!$I$2:$L$6,2,TRUE))</x:f>
      </x:c>
      <x:c r="U342" s="217"/>
      <x:c r="V342" s="221" t="str">
        <x:f>IF($L342="","",$J342*$L342)</x:f>
      </x:c>
      <x:c r="W342" s="221" t="str">
        <x:f>IF($V342="","",$J342+$V342)</x:f>
      </x:c>
      <x:c r="X342" s="217" t="str">
        <x:f>IF($Y342="Ready","Review and inform supplier","")</x:f>
      </x:c>
      <x:c r="Y342" s="217" t="str">
        <x:f>IF(AND($B342="",$E342="",$I342=""),"",IF($B342="","Missing Assignment Number",IF($E342="","Select Job Title",IF($I342="","Enter Pay Rate",IF($S342="","Job Title not found","Ready")))))</x:f>
      </x:c>
    </x:row>
    <x:row r="343" ht="22" customHeight="1">
      <x:c r="A343" s="205"/>
      <x:c r="B343" s="205"/>
      <x:c r="C343" s="206"/>
      <x:c r="D343" s="205"/>
      <x:c r="E343" s="207"/>
      <x:c r="F343" s="208"/>
      <x:c r="G343" s="209" t="str">
        <x:f>IF($S343="","",IFERROR(VLOOKUP($S343,'Data'!$D$2:$G$14,3,FALSE),""))</x:f>
      </x:c>
      <x:c r="H343" s="210" t="str">
        <x:f>IF($G343="","",$G343/'Data'!$O$2/'Data'!$O$3)</x:f>
      </x:c>
      <x:c r="I343" s="211"/>
      <x:c r="J343" s="209" t="str">
        <x:f>IF(OR($E343="",$I343=""),"",$I343*'Data'!$O$2*'Data'!$O$3)</x:f>
      </x:c>
      <x:c r="K343" s="212" t="str">
        <x:f>IF(OR($J343="",$G343=""),"",$J343/$G343)</x:f>
      </x:c>
      <x:c r="L343" s="213" t="str">
        <x:f>IF($K343="","",VLOOKUP($K343,'Data'!$I$2:$L$6,3,TRUE))</x:f>
      </x:c>
      <x:c r="M343" s="210" t="str">
        <x:f>IF($L343="","",$I343*$L343)</x:f>
      </x:c>
      <x:c r="N343" s="214" t="str">
        <x:f>IF($M343="","",ROUNDDOWN($I343+$M343,2))</x:f>
      </x:c>
      <x:c r="O343" s="210" t="str">
        <x:f>IF($N343="","",ROUNDDOWN(ROUNDDOWN($N343,2)*$R343,3))</x:f>
      </x:c>
      <x:c r="P343" s="215"/>
      <x:c r="Q343" s="222" t="str">
        <x:f>IF($E343="","",IF(OR(RIGHT(UPPER(TRIM(SUBSTITUTE(CLEAN($E343),CHAR(160)," "))),2)="P1",RIGHT(UPPER(TRIM(SUBSTITUTE(CLEAN($E343),CHAR(160)," "))),2)="P2",RIGHT(UPPER(TRIM(SUBSTITUTE(CLEAN($E343),CHAR(160)," "))),2)="P3",RIGHT(UPPER(TRIM(SUBSTITUTE(CLEAN($E343),CHAR(160)," "))),2)="P4",ISNUMBER(SEARCH("INDUSTRIAL HYGIENIST 1 ENVIRONMENT",UPPER(TRIM(SUBSTITUTE(CLEAN($E343),CHAR(160)," ")))))),"PS","GS"))</x:f>
      </x:c>
      <x:c r="R343" s="223" t="str">
        <x:f>IF($Q343="","",IF($Q343="PS",'Data'!$O$5,'Data'!$O$4))</x:f>
      </x:c>
      <x:c r="S343" s="224" t="str">
        <x:f>IF($E343="","",IFERROR(VLOOKUP($E343,'Data'!$A$2:$B$114,2,FALSE),""))</x:f>
      </x:c>
      <x:c r="T343" s="217" t="str">
        <x:f>IF($K343="","",VLOOKUP($K343,'Data'!$I$2:$L$6,2,TRUE))</x:f>
      </x:c>
      <x:c r="U343" s="217"/>
      <x:c r="V343" s="221" t="str">
        <x:f>IF($L343="","",$J343*$L343)</x:f>
      </x:c>
      <x:c r="W343" s="221" t="str">
        <x:f>IF($V343="","",$J343+$V343)</x:f>
      </x:c>
      <x:c r="X343" s="217" t="str">
        <x:f>IF($Y343="Ready","Review and inform supplier","")</x:f>
      </x:c>
      <x:c r="Y343" s="217" t="str">
        <x:f>IF(AND($B343="",$E343="",$I343=""),"",IF($B343="","Missing Assignment Number",IF($E343="","Select Job Title",IF($I343="","Enter Pay Rate",IF($S343="","Job Title not found","Ready")))))</x:f>
      </x:c>
    </x:row>
    <x:row r="344" ht="22" customHeight="1">
      <x:c r="A344" s="205"/>
      <x:c r="B344" s="205"/>
      <x:c r="C344" s="206"/>
      <x:c r="D344" s="205"/>
      <x:c r="E344" s="207"/>
      <x:c r="F344" s="208"/>
      <x:c r="G344" s="209" t="str">
        <x:f>IF($S344="","",IFERROR(VLOOKUP($S344,'Data'!$D$2:$G$14,3,FALSE),""))</x:f>
      </x:c>
      <x:c r="H344" s="210" t="str">
        <x:f>IF($G344="","",$G344/'Data'!$O$2/'Data'!$O$3)</x:f>
      </x:c>
      <x:c r="I344" s="211"/>
      <x:c r="J344" s="209" t="str">
        <x:f>IF(OR($E344="",$I344=""),"",$I344*'Data'!$O$2*'Data'!$O$3)</x:f>
      </x:c>
      <x:c r="K344" s="212" t="str">
        <x:f>IF(OR($J344="",$G344=""),"",$J344/$G344)</x:f>
      </x:c>
      <x:c r="L344" s="213" t="str">
        <x:f>IF($K344="","",VLOOKUP($K344,'Data'!$I$2:$L$6,3,TRUE))</x:f>
      </x:c>
      <x:c r="M344" s="210" t="str">
        <x:f>IF($L344="","",$I344*$L344)</x:f>
      </x:c>
      <x:c r="N344" s="214" t="str">
        <x:f>IF($M344="","",ROUNDDOWN($I344+$M344,2))</x:f>
      </x:c>
      <x:c r="O344" s="210" t="str">
        <x:f>IF($N344="","",ROUNDDOWN(ROUNDDOWN($N344,2)*$R344,3))</x:f>
      </x:c>
      <x:c r="P344" s="215"/>
      <x:c r="Q344" s="222" t="str">
        <x:f>IF($E344="","",IF(OR(RIGHT(UPPER(TRIM(SUBSTITUTE(CLEAN($E344),CHAR(160)," "))),2)="P1",RIGHT(UPPER(TRIM(SUBSTITUTE(CLEAN($E344),CHAR(160)," "))),2)="P2",RIGHT(UPPER(TRIM(SUBSTITUTE(CLEAN($E344),CHAR(160)," "))),2)="P3",RIGHT(UPPER(TRIM(SUBSTITUTE(CLEAN($E344),CHAR(160)," "))),2)="P4",ISNUMBER(SEARCH("INDUSTRIAL HYGIENIST 1 ENVIRONMENT",UPPER(TRIM(SUBSTITUTE(CLEAN($E344),CHAR(160)," ")))))),"PS","GS"))</x:f>
      </x:c>
      <x:c r="R344" s="223" t="str">
        <x:f>IF($Q344="","",IF($Q344="PS",'Data'!$O$5,'Data'!$O$4))</x:f>
      </x:c>
      <x:c r="S344" s="224" t="str">
        <x:f>IF($E344="","",IFERROR(VLOOKUP($E344,'Data'!$A$2:$B$114,2,FALSE),""))</x:f>
      </x:c>
      <x:c r="T344" s="217" t="str">
        <x:f>IF($K344="","",VLOOKUP($K344,'Data'!$I$2:$L$6,2,TRUE))</x:f>
      </x:c>
      <x:c r="U344" s="217"/>
      <x:c r="V344" s="221" t="str">
        <x:f>IF($L344="","",$J344*$L344)</x:f>
      </x:c>
      <x:c r="W344" s="221" t="str">
        <x:f>IF($V344="","",$J344+$V344)</x:f>
      </x:c>
      <x:c r="X344" s="217" t="str">
        <x:f>IF($Y344="Ready","Review and inform supplier","")</x:f>
      </x:c>
      <x:c r="Y344" s="217" t="str">
        <x:f>IF(AND($B344="",$E344="",$I344=""),"",IF($B344="","Missing Assignment Number",IF($E344="","Select Job Title",IF($I344="","Enter Pay Rate",IF($S344="","Job Title not found","Ready")))))</x:f>
      </x:c>
    </x:row>
    <x:row r="345" ht="22" customHeight="1">
      <x:c r="A345" s="205"/>
      <x:c r="B345" s="205"/>
      <x:c r="C345" s="206"/>
      <x:c r="D345" s="205"/>
      <x:c r="E345" s="207"/>
      <x:c r="F345" s="208"/>
      <x:c r="G345" s="209" t="str">
        <x:f>IF($S345="","",IFERROR(VLOOKUP($S345,'Data'!$D$2:$G$14,3,FALSE),""))</x:f>
      </x:c>
      <x:c r="H345" s="210" t="str">
        <x:f>IF($G345="","",$G345/'Data'!$O$2/'Data'!$O$3)</x:f>
      </x:c>
      <x:c r="I345" s="211"/>
      <x:c r="J345" s="209" t="str">
        <x:f>IF(OR($E345="",$I345=""),"",$I345*'Data'!$O$2*'Data'!$O$3)</x:f>
      </x:c>
      <x:c r="K345" s="212" t="str">
        <x:f>IF(OR($J345="",$G345=""),"",$J345/$G345)</x:f>
      </x:c>
      <x:c r="L345" s="213" t="str">
        <x:f>IF($K345="","",VLOOKUP($K345,'Data'!$I$2:$L$6,3,TRUE))</x:f>
      </x:c>
      <x:c r="M345" s="210" t="str">
        <x:f>IF($L345="","",$I345*$L345)</x:f>
      </x:c>
      <x:c r="N345" s="214" t="str">
        <x:f>IF($M345="","",ROUNDDOWN($I345+$M345,2))</x:f>
      </x:c>
      <x:c r="O345" s="210" t="str">
        <x:f>IF($N345="","",ROUNDDOWN(ROUNDDOWN($N345,2)*$R345,3))</x:f>
      </x:c>
      <x:c r="P345" s="215"/>
      <x:c r="Q345" s="222" t="str">
        <x:f>IF($E345="","",IF(OR(RIGHT(UPPER(TRIM(SUBSTITUTE(CLEAN($E345),CHAR(160)," "))),2)="P1",RIGHT(UPPER(TRIM(SUBSTITUTE(CLEAN($E345),CHAR(160)," "))),2)="P2",RIGHT(UPPER(TRIM(SUBSTITUTE(CLEAN($E345),CHAR(160)," "))),2)="P3",RIGHT(UPPER(TRIM(SUBSTITUTE(CLEAN($E345),CHAR(160)," "))),2)="P4",ISNUMBER(SEARCH("INDUSTRIAL HYGIENIST 1 ENVIRONMENT",UPPER(TRIM(SUBSTITUTE(CLEAN($E345),CHAR(160)," ")))))),"PS","GS"))</x:f>
      </x:c>
      <x:c r="R345" s="223" t="str">
        <x:f>IF($Q345="","",IF($Q345="PS",'Data'!$O$5,'Data'!$O$4))</x:f>
      </x:c>
      <x:c r="S345" s="224" t="str">
        <x:f>IF($E345="","",IFERROR(VLOOKUP($E345,'Data'!$A$2:$B$114,2,FALSE),""))</x:f>
      </x:c>
      <x:c r="T345" s="217" t="str">
        <x:f>IF($K345="","",VLOOKUP($K345,'Data'!$I$2:$L$6,2,TRUE))</x:f>
      </x:c>
      <x:c r="U345" s="217"/>
      <x:c r="V345" s="221" t="str">
        <x:f>IF($L345="","",$J345*$L345)</x:f>
      </x:c>
      <x:c r="W345" s="221" t="str">
        <x:f>IF($V345="","",$J345+$V345)</x:f>
      </x:c>
      <x:c r="X345" s="217" t="str">
        <x:f>IF($Y345="Ready","Review and inform supplier","")</x:f>
      </x:c>
      <x:c r="Y345" s="217" t="str">
        <x:f>IF(AND($B345="",$E345="",$I345=""),"",IF($B345="","Missing Assignment Number",IF($E345="","Select Job Title",IF($I345="","Enter Pay Rate",IF($S345="","Job Title not found","Ready")))))</x:f>
      </x:c>
    </x:row>
    <x:row r="346" ht="22" customHeight="1">
      <x:c r="A346" s="205"/>
      <x:c r="B346" s="205"/>
      <x:c r="C346" s="206"/>
      <x:c r="D346" s="205"/>
      <x:c r="E346" s="207"/>
      <x:c r="F346" s="208"/>
      <x:c r="G346" s="209" t="str">
        <x:f>IF($S346="","",IFERROR(VLOOKUP($S346,'Data'!$D$2:$G$14,3,FALSE),""))</x:f>
      </x:c>
      <x:c r="H346" s="210" t="str">
        <x:f>IF($G346="","",$G346/'Data'!$O$2/'Data'!$O$3)</x:f>
      </x:c>
      <x:c r="I346" s="211"/>
      <x:c r="J346" s="209" t="str">
        <x:f>IF(OR($E346="",$I346=""),"",$I346*'Data'!$O$2*'Data'!$O$3)</x:f>
      </x:c>
      <x:c r="K346" s="212" t="str">
        <x:f>IF(OR($J346="",$G346=""),"",$J346/$G346)</x:f>
      </x:c>
      <x:c r="L346" s="213" t="str">
        <x:f>IF($K346="","",VLOOKUP($K346,'Data'!$I$2:$L$6,3,TRUE))</x:f>
      </x:c>
      <x:c r="M346" s="210" t="str">
        <x:f>IF($L346="","",$I346*$L346)</x:f>
      </x:c>
      <x:c r="N346" s="214" t="str">
        <x:f>IF($M346="","",ROUNDDOWN($I346+$M346,2))</x:f>
      </x:c>
      <x:c r="O346" s="210" t="str">
        <x:f>IF($N346="","",ROUNDDOWN(ROUNDDOWN($N346,2)*$R346,3))</x:f>
      </x:c>
      <x:c r="P346" s="215"/>
      <x:c r="Q346" s="222" t="str">
        <x:f>IF($E346="","",IF(OR(RIGHT(UPPER(TRIM(SUBSTITUTE(CLEAN($E346),CHAR(160)," "))),2)="P1",RIGHT(UPPER(TRIM(SUBSTITUTE(CLEAN($E346),CHAR(160)," "))),2)="P2",RIGHT(UPPER(TRIM(SUBSTITUTE(CLEAN($E346),CHAR(160)," "))),2)="P3",RIGHT(UPPER(TRIM(SUBSTITUTE(CLEAN($E346),CHAR(160)," "))),2)="P4",ISNUMBER(SEARCH("INDUSTRIAL HYGIENIST 1 ENVIRONMENT",UPPER(TRIM(SUBSTITUTE(CLEAN($E346),CHAR(160)," ")))))),"PS","GS"))</x:f>
      </x:c>
      <x:c r="R346" s="223" t="str">
        <x:f>IF($Q346="","",IF($Q346="PS",'Data'!$O$5,'Data'!$O$4))</x:f>
      </x:c>
      <x:c r="S346" s="224" t="str">
        <x:f>IF($E346="","",IFERROR(VLOOKUP($E346,'Data'!$A$2:$B$114,2,FALSE),""))</x:f>
      </x:c>
      <x:c r="T346" s="217" t="str">
        <x:f>IF($K346="","",VLOOKUP($K346,'Data'!$I$2:$L$6,2,TRUE))</x:f>
      </x:c>
      <x:c r="U346" s="217"/>
      <x:c r="V346" s="221" t="str">
        <x:f>IF($L346="","",$J346*$L346)</x:f>
      </x:c>
      <x:c r="W346" s="221" t="str">
        <x:f>IF($V346="","",$J346+$V346)</x:f>
      </x:c>
      <x:c r="X346" s="217" t="str">
        <x:f>IF($Y346="Ready","Review and inform supplier","")</x:f>
      </x:c>
      <x:c r="Y346" s="217" t="str">
        <x:f>IF(AND($B346="",$E346="",$I346=""),"",IF($B346="","Missing Assignment Number",IF($E346="","Select Job Title",IF($I346="","Enter Pay Rate",IF($S346="","Job Title not found","Ready")))))</x:f>
      </x:c>
    </x:row>
    <x:row r="347" ht="22" customHeight="1">
      <x:c r="A347" s="205"/>
      <x:c r="B347" s="205"/>
      <x:c r="C347" s="206"/>
      <x:c r="D347" s="205"/>
      <x:c r="E347" s="207"/>
      <x:c r="F347" s="208"/>
      <x:c r="G347" s="209" t="str">
        <x:f>IF($S347="","",IFERROR(VLOOKUP($S347,'Data'!$D$2:$G$14,3,FALSE),""))</x:f>
      </x:c>
      <x:c r="H347" s="210" t="str">
        <x:f>IF($G347="","",$G347/'Data'!$O$2/'Data'!$O$3)</x:f>
      </x:c>
      <x:c r="I347" s="211"/>
      <x:c r="J347" s="209" t="str">
        <x:f>IF(OR($E347="",$I347=""),"",$I347*'Data'!$O$2*'Data'!$O$3)</x:f>
      </x:c>
      <x:c r="K347" s="212" t="str">
        <x:f>IF(OR($J347="",$G347=""),"",$J347/$G347)</x:f>
      </x:c>
      <x:c r="L347" s="213" t="str">
        <x:f>IF($K347="","",VLOOKUP($K347,'Data'!$I$2:$L$6,3,TRUE))</x:f>
      </x:c>
      <x:c r="M347" s="210" t="str">
        <x:f>IF($L347="","",$I347*$L347)</x:f>
      </x:c>
      <x:c r="N347" s="214" t="str">
        <x:f>IF($M347="","",ROUNDDOWN($I347+$M347,2))</x:f>
      </x:c>
      <x:c r="O347" s="210" t="str">
        <x:f>IF($N347="","",ROUNDDOWN(ROUNDDOWN($N347,2)*$R347,3))</x:f>
      </x:c>
      <x:c r="P347" s="215"/>
      <x:c r="Q347" s="222" t="str">
        <x:f>IF($E347="","",IF(OR(RIGHT(UPPER(TRIM(SUBSTITUTE(CLEAN($E347),CHAR(160)," "))),2)="P1",RIGHT(UPPER(TRIM(SUBSTITUTE(CLEAN($E347),CHAR(160)," "))),2)="P2",RIGHT(UPPER(TRIM(SUBSTITUTE(CLEAN($E347),CHAR(160)," "))),2)="P3",RIGHT(UPPER(TRIM(SUBSTITUTE(CLEAN($E347),CHAR(160)," "))),2)="P4",ISNUMBER(SEARCH("INDUSTRIAL HYGIENIST 1 ENVIRONMENT",UPPER(TRIM(SUBSTITUTE(CLEAN($E347),CHAR(160)," ")))))),"PS","GS"))</x:f>
      </x:c>
      <x:c r="R347" s="223" t="str">
        <x:f>IF($Q347="","",IF($Q347="PS",'Data'!$O$5,'Data'!$O$4))</x:f>
      </x:c>
      <x:c r="S347" s="224" t="str">
        <x:f>IF($E347="","",IFERROR(VLOOKUP($E347,'Data'!$A$2:$B$114,2,FALSE),""))</x:f>
      </x:c>
      <x:c r="T347" s="217" t="str">
        <x:f>IF($K347="","",VLOOKUP($K347,'Data'!$I$2:$L$6,2,TRUE))</x:f>
      </x:c>
      <x:c r="U347" s="217"/>
      <x:c r="V347" s="221" t="str">
        <x:f>IF($L347="","",$J347*$L347)</x:f>
      </x:c>
      <x:c r="W347" s="221" t="str">
        <x:f>IF($V347="","",$J347+$V347)</x:f>
      </x:c>
      <x:c r="X347" s="217" t="str">
        <x:f>IF($Y347="Ready","Review and inform supplier","")</x:f>
      </x:c>
      <x:c r="Y347" s="217" t="str">
        <x:f>IF(AND($B347="",$E347="",$I347=""),"",IF($B347="","Missing Assignment Number",IF($E347="","Select Job Title",IF($I347="","Enter Pay Rate",IF($S347="","Job Title not found","Ready")))))</x:f>
      </x:c>
    </x:row>
    <x:row r="348" ht="22" customHeight="1">
      <x:c r="A348" s="205"/>
      <x:c r="B348" s="205"/>
      <x:c r="C348" s="206"/>
      <x:c r="D348" s="205"/>
      <x:c r="E348" s="207"/>
      <x:c r="F348" s="208"/>
      <x:c r="G348" s="209" t="str">
        <x:f>IF($S348="","",IFERROR(VLOOKUP($S348,'Data'!$D$2:$G$14,3,FALSE),""))</x:f>
      </x:c>
      <x:c r="H348" s="210" t="str">
        <x:f>IF($G348="","",$G348/'Data'!$O$2/'Data'!$O$3)</x:f>
      </x:c>
      <x:c r="I348" s="211"/>
      <x:c r="J348" s="209" t="str">
        <x:f>IF(OR($E348="",$I348=""),"",$I348*'Data'!$O$2*'Data'!$O$3)</x:f>
      </x:c>
      <x:c r="K348" s="212" t="str">
        <x:f>IF(OR($J348="",$G348=""),"",$J348/$G348)</x:f>
      </x:c>
      <x:c r="L348" s="213" t="str">
        <x:f>IF($K348="","",VLOOKUP($K348,'Data'!$I$2:$L$6,3,TRUE))</x:f>
      </x:c>
      <x:c r="M348" s="210" t="str">
        <x:f>IF($L348="","",$I348*$L348)</x:f>
      </x:c>
      <x:c r="N348" s="214" t="str">
        <x:f>IF($M348="","",ROUNDDOWN($I348+$M348,2))</x:f>
      </x:c>
      <x:c r="O348" s="210" t="str">
        <x:f>IF($N348="","",ROUNDDOWN(ROUNDDOWN($N348,2)*$R348,3))</x:f>
      </x:c>
      <x:c r="P348" s="215"/>
      <x:c r="Q348" s="222" t="str">
        <x:f>IF($E348="","",IF(OR(RIGHT(UPPER(TRIM(SUBSTITUTE(CLEAN($E348),CHAR(160)," "))),2)="P1",RIGHT(UPPER(TRIM(SUBSTITUTE(CLEAN($E348),CHAR(160)," "))),2)="P2",RIGHT(UPPER(TRIM(SUBSTITUTE(CLEAN($E348),CHAR(160)," "))),2)="P3",RIGHT(UPPER(TRIM(SUBSTITUTE(CLEAN($E348),CHAR(160)," "))),2)="P4",ISNUMBER(SEARCH("INDUSTRIAL HYGIENIST 1 ENVIRONMENT",UPPER(TRIM(SUBSTITUTE(CLEAN($E348),CHAR(160)," ")))))),"PS","GS"))</x:f>
      </x:c>
      <x:c r="R348" s="223" t="str">
        <x:f>IF($Q348="","",IF($Q348="PS",'Data'!$O$5,'Data'!$O$4))</x:f>
      </x:c>
      <x:c r="S348" s="224" t="str">
        <x:f>IF($E348="","",IFERROR(VLOOKUP($E348,'Data'!$A$2:$B$114,2,FALSE),""))</x:f>
      </x:c>
      <x:c r="T348" s="217" t="str">
        <x:f>IF($K348="","",VLOOKUP($K348,'Data'!$I$2:$L$6,2,TRUE))</x:f>
      </x:c>
      <x:c r="U348" s="217"/>
      <x:c r="V348" s="221" t="str">
        <x:f>IF($L348="","",$J348*$L348)</x:f>
      </x:c>
      <x:c r="W348" s="221" t="str">
        <x:f>IF($V348="","",$J348+$V348)</x:f>
      </x:c>
      <x:c r="X348" s="217" t="str">
        <x:f>IF($Y348="Ready","Review and inform supplier","")</x:f>
      </x:c>
      <x:c r="Y348" s="217" t="str">
        <x:f>IF(AND($B348="",$E348="",$I348=""),"",IF($B348="","Missing Assignment Number",IF($E348="","Select Job Title",IF($I348="","Enter Pay Rate",IF($S348="","Job Title not found","Ready")))))</x:f>
      </x:c>
    </x:row>
    <x:row r="349" ht="22" customHeight="1">
      <x:c r="A349" s="205"/>
      <x:c r="B349" s="205"/>
      <x:c r="C349" s="206"/>
      <x:c r="D349" s="205"/>
      <x:c r="E349" s="207"/>
      <x:c r="F349" s="208"/>
      <x:c r="G349" s="209" t="str">
        <x:f>IF($S349="","",IFERROR(VLOOKUP($S349,'Data'!$D$2:$G$14,3,FALSE),""))</x:f>
      </x:c>
      <x:c r="H349" s="210" t="str">
        <x:f>IF($G349="","",$G349/'Data'!$O$2/'Data'!$O$3)</x:f>
      </x:c>
      <x:c r="I349" s="211"/>
      <x:c r="J349" s="209" t="str">
        <x:f>IF(OR($E349="",$I349=""),"",$I349*'Data'!$O$2*'Data'!$O$3)</x:f>
      </x:c>
      <x:c r="K349" s="212" t="str">
        <x:f>IF(OR($J349="",$G349=""),"",$J349/$G349)</x:f>
      </x:c>
      <x:c r="L349" s="213" t="str">
        <x:f>IF($K349="","",VLOOKUP($K349,'Data'!$I$2:$L$6,3,TRUE))</x:f>
      </x:c>
      <x:c r="M349" s="210" t="str">
        <x:f>IF($L349="","",$I349*$L349)</x:f>
      </x:c>
      <x:c r="N349" s="214" t="str">
        <x:f>IF($M349="","",ROUNDDOWN($I349+$M349,2))</x:f>
      </x:c>
      <x:c r="O349" s="210" t="str">
        <x:f>IF($N349="","",ROUNDDOWN(ROUNDDOWN($N349,2)*$R349,3))</x:f>
      </x:c>
      <x:c r="P349" s="215"/>
      <x:c r="Q349" s="222" t="str">
        <x:f>IF($E349="","",IF(OR(RIGHT(UPPER(TRIM(SUBSTITUTE(CLEAN($E349),CHAR(160)," "))),2)="P1",RIGHT(UPPER(TRIM(SUBSTITUTE(CLEAN($E349),CHAR(160)," "))),2)="P2",RIGHT(UPPER(TRIM(SUBSTITUTE(CLEAN($E349),CHAR(160)," "))),2)="P3",RIGHT(UPPER(TRIM(SUBSTITUTE(CLEAN($E349),CHAR(160)," "))),2)="P4",ISNUMBER(SEARCH("INDUSTRIAL HYGIENIST 1 ENVIRONMENT",UPPER(TRIM(SUBSTITUTE(CLEAN($E349),CHAR(160)," ")))))),"PS","GS"))</x:f>
      </x:c>
      <x:c r="R349" s="223" t="str">
        <x:f>IF($Q349="","",IF($Q349="PS",'Data'!$O$5,'Data'!$O$4))</x:f>
      </x:c>
      <x:c r="S349" s="224" t="str">
        <x:f>IF($E349="","",IFERROR(VLOOKUP($E349,'Data'!$A$2:$B$114,2,FALSE),""))</x:f>
      </x:c>
      <x:c r="T349" s="217" t="str">
        <x:f>IF($K349="","",VLOOKUP($K349,'Data'!$I$2:$L$6,2,TRUE))</x:f>
      </x:c>
      <x:c r="U349" s="217"/>
      <x:c r="V349" s="221" t="str">
        <x:f>IF($L349="","",$J349*$L349)</x:f>
      </x:c>
      <x:c r="W349" s="221" t="str">
        <x:f>IF($V349="","",$J349+$V349)</x:f>
      </x:c>
      <x:c r="X349" s="217" t="str">
        <x:f>IF($Y349="Ready","Review and inform supplier","")</x:f>
      </x:c>
      <x:c r="Y349" s="217" t="str">
        <x:f>IF(AND($B349="",$E349="",$I349=""),"",IF($B349="","Missing Assignment Number",IF($E349="","Select Job Title",IF($I349="","Enter Pay Rate",IF($S349="","Job Title not found","Ready")))))</x:f>
      </x:c>
    </x:row>
    <x:row r="350" ht="22" customHeight="1">
      <x:c r="A350" s="205"/>
      <x:c r="B350" s="205"/>
      <x:c r="C350" s="206"/>
      <x:c r="D350" s="205"/>
      <x:c r="E350" s="207"/>
      <x:c r="F350" s="208"/>
      <x:c r="G350" s="209" t="str">
        <x:f>IF($S350="","",IFERROR(VLOOKUP($S350,'Data'!$D$2:$G$14,3,FALSE),""))</x:f>
      </x:c>
      <x:c r="H350" s="210" t="str">
        <x:f>IF($G350="","",$G350/'Data'!$O$2/'Data'!$O$3)</x:f>
      </x:c>
      <x:c r="I350" s="211"/>
      <x:c r="J350" s="209" t="str">
        <x:f>IF(OR($E350="",$I350=""),"",$I350*'Data'!$O$2*'Data'!$O$3)</x:f>
      </x:c>
      <x:c r="K350" s="212" t="str">
        <x:f>IF(OR($J350="",$G350=""),"",$J350/$G350)</x:f>
      </x:c>
      <x:c r="L350" s="213" t="str">
        <x:f>IF($K350="","",VLOOKUP($K350,'Data'!$I$2:$L$6,3,TRUE))</x:f>
      </x:c>
      <x:c r="M350" s="210" t="str">
        <x:f>IF($L350="","",$I350*$L350)</x:f>
      </x:c>
      <x:c r="N350" s="214" t="str">
        <x:f>IF($M350="","",ROUNDDOWN($I350+$M350,2))</x:f>
      </x:c>
      <x:c r="O350" s="210" t="str">
        <x:f>IF($N350="","",ROUNDDOWN(ROUNDDOWN($N350,2)*$R350,3))</x:f>
      </x:c>
      <x:c r="P350" s="215"/>
      <x:c r="Q350" s="222" t="str">
        <x:f>IF($E350="","",IF(OR(RIGHT(UPPER(TRIM(SUBSTITUTE(CLEAN($E350),CHAR(160)," "))),2)="P1",RIGHT(UPPER(TRIM(SUBSTITUTE(CLEAN($E350),CHAR(160)," "))),2)="P2",RIGHT(UPPER(TRIM(SUBSTITUTE(CLEAN($E350),CHAR(160)," "))),2)="P3",RIGHT(UPPER(TRIM(SUBSTITUTE(CLEAN($E350),CHAR(160)," "))),2)="P4",ISNUMBER(SEARCH("INDUSTRIAL HYGIENIST 1 ENVIRONMENT",UPPER(TRIM(SUBSTITUTE(CLEAN($E350),CHAR(160)," ")))))),"PS","GS"))</x:f>
      </x:c>
      <x:c r="R350" s="223" t="str">
        <x:f>IF($Q350="","",IF($Q350="PS",'Data'!$O$5,'Data'!$O$4))</x:f>
      </x:c>
      <x:c r="S350" s="224" t="str">
        <x:f>IF($E350="","",IFERROR(VLOOKUP($E350,'Data'!$A$2:$B$114,2,FALSE),""))</x:f>
      </x:c>
      <x:c r="T350" s="217" t="str">
        <x:f>IF($K350="","",VLOOKUP($K350,'Data'!$I$2:$L$6,2,TRUE))</x:f>
      </x:c>
      <x:c r="U350" s="217"/>
      <x:c r="V350" s="221" t="str">
        <x:f>IF($L350="","",$J350*$L350)</x:f>
      </x:c>
      <x:c r="W350" s="221" t="str">
        <x:f>IF($V350="","",$J350+$V350)</x:f>
      </x:c>
      <x:c r="X350" s="217" t="str">
        <x:f>IF($Y350="Ready","Review and inform supplier","")</x:f>
      </x:c>
      <x:c r="Y350" s="217" t="str">
        <x:f>IF(AND($B350="",$E350="",$I350=""),"",IF($B350="","Missing Assignment Number",IF($E350="","Select Job Title",IF($I350="","Enter Pay Rate",IF($S350="","Job Title not found","Ready")))))</x:f>
      </x:c>
    </x:row>
    <x:row r="351" ht="22" customHeight="1">
      <x:c r="A351" s="205"/>
      <x:c r="B351" s="205"/>
      <x:c r="C351" s="206"/>
      <x:c r="D351" s="205"/>
      <x:c r="E351" s="207"/>
      <x:c r="F351" s="208"/>
      <x:c r="G351" s="209" t="str">
        <x:f>IF($S351="","",IFERROR(VLOOKUP($S351,'Data'!$D$2:$G$14,3,FALSE),""))</x:f>
      </x:c>
      <x:c r="H351" s="210" t="str">
        <x:f>IF($G351="","",$G351/'Data'!$O$2/'Data'!$O$3)</x:f>
      </x:c>
      <x:c r="I351" s="211"/>
      <x:c r="J351" s="209" t="str">
        <x:f>IF(OR($E351="",$I351=""),"",$I351*'Data'!$O$2*'Data'!$O$3)</x:f>
      </x:c>
      <x:c r="K351" s="212" t="str">
        <x:f>IF(OR($J351="",$G351=""),"",$J351/$G351)</x:f>
      </x:c>
      <x:c r="L351" s="213" t="str">
        <x:f>IF($K351="","",VLOOKUP($K351,'Data'!$I$2:$L$6,3,TRUE))</x:f>
      </x:c>
      <x:c r="M351" s="210" t="str">
        <x:f>IF($L351="","",$I351*$L351)</x:f>
      </x:c>
      <x:c r="N351" s="214" t="str">
        <x:f>IF($M351="","",ROUNDDOWN($I351+$M351,2))</x:f>
      </x:c>
      <x:c r="O351" s="210" t="str">
        <x:f>IF($N351="","",ROUNDDOWN(ROUNDDOWN($N351,2)*$R351,3))</x:f>
      </x:c>
      <x:c r="P351" s="215"/>
      <x:c r="Q351" s="222" t="str">
        <x:f>IF($E351="","",IF(OR(RIGHT(UPPER(TRIM(SUBSTITUTE(CLEAN($E351),CHAR(160)," "))),2)="P1",RIGHT(UPPER(TRIM(SUBSTITUTE(CLEAN($E351),CHAR(160)," "))),2)="P2",RIGHT(UPPER(TRIM(SUBSTITUTE(CLEAN($E351),CHAR(160)," "))),2)="P3",RIGHT(UPPER(TRIM(SUBSTITUTE(CLEAN($E351),CHAR(160)," "))),2)="P4",ISNUMBER(SEARCH("INDUSTRIAL HYGIENIST 1 ENVIRONMENT",UPPER(TRIM(SUBSTITUTE(CLEAN($E351),CHAR(160)," ")))))),"PS","GS"))</x:f>
      </x:c>
      <x:c r="R351" s="223" t="str">
        <x:f>IF($Q351="","",IF($Q351="PS",'Data'!$O$5,'Data'!$O$4))</x:f>
      </x:c>
      <x:c r="S351" s="224" t="str">
        <x:f>IF($E351="","",IFERROR(VLOOKUP($E351,'Data'!$A$2:$B$114,2,FALSE),""))</x:f>
      </x:c>
      <x:c r="T351" s="217" t="str">
        <x:f>IF($K351="","",VLOOKUP($K351,'Data'!$I$2:$L$6,2,TRUE))</x:f>
      </x:c>
      <x:c r="U351" s="217"/>
      <x:c r="V351" s="221" t="str">
        <x:f>IF($L351="","",$J351*$L351)</x:f>
      </x:c>
      <x:c r="W351" s="221" t="str">
        <x:f>IF($V351="","",$J351+$V351)</x:f>
      </x:c>
      <x:c r="X351" s="217" t="str">
        <x:f>IF($Y351="Ready","Review and inform supplier","")</x:f>
      </x:c>
      <x:c r="Y351" s="217" t="str">
        <x:f>IF(AND($B351="",$E351="",$I351=""),"",IF($B351="","Missing Assignment Number",IF($E351="","Select Job Title",IF($I351="","Enter Pay Rate",IF($S351="","Job Title not found","Ready")))))</x:f>
      </x:c>
    </x:row>
    <x:row r="352" ht="22" customHeight="1">
      <x:c r="A352" s="205"/>
      <x:c r="B352" s="205"/>
      <x:c r="C352" s="206"/>
      <x:c r="D352" s="205"/>
      <x:c r="E352" s="207"/>
      <x:c r="F352" s="208"/>
      <x:c r="G352" s="209" t="str">
        <x:f>IF($S352="","",IFERROR(VLOOKUP($S352,'Data'!$D$2:$G$14,3,FALSE),""))</x:f>
      </x:c>
      <x:c r="H352" s="210" t="str">
        <x:f>IF($G352="","",$G352/'Data'!$O$2/'Data'!$O$3)</x:f>
      </x:c>
      <x:c r="I352" s="211"/>
      <x:c r="J352" s="209" t="str">
        <x:f>IF(OR($E352="",$I352=""),"",$I352*'Data'!$O$2*'Data'!$O$3)</x:f>
      </x:c>
      <x:c r="K352" s="212" t="str">
        <x:f>IF(OR($J352="",$G352=""),"",$J352/$G352)</x:f>
      </x:c>
      <x:c r="L352" s="213" t="str">
        <x:f>IF($K352="","",VLOOKUP($K352,'Data'!$I$2:$L$6,3,TRUE))</x:f>
      </x:c>
      <x:c r="M352" s="210" t="str">
        <x:f>IF($L352="","",$I352*$L352)</x:f>
      </x:c>
      <x:c r="N352" s="214" t="str">
        <x:f>IF($M352="","",ROUNDDOWN($I352+$M352,2))</x:f>
      </x:c>
      <x:c r="O352" s="210" t="str">
        <x:f>IF($N352="","",ROUNDDOWN(ROUNDDOWN($N352,2)*$R352,3))</x:f>
      </x:c>
      <x:c r="P352" s="215"/>
      <x:c r="Q352" s="222" t="str">
        <x:f>IF($E352="","",IF(OR(RIGHT(UPPER(TRIM(SUBSTITUTE(CLEAN($E352),CHAR(160)," "))),2)="P1",RIGHT(UPPER(TRIM(SUBSTITUTE(CLEAN($E352),CHAR(160)," "))),2)="P2",RIGHT(UPPER(TRIM(SUBSTITUTE(CLEAN($E352),CHAR(160)," "))),2)="P3",RIGHT(UPPER(TRIM(SUBSTITUTE(CLEAN($E352),CHAR(160)," "))),2)="P4",ISNUMBER(SEARCH("INDUSTRIAL HYGIENIST 1 ENVIRONMENT",UPPER(TRIM(SUBSTITUTE(CLEAN($E352),CHAR(160)," ")))))),"PS","GS"))</x:f>
      </x:c>
      <x:c r="R352" s="223" t="str">
        <x:f>IF($Q352="","",IF($Q352="PS",'Data'!$O$5,'Data'!$O$4))</x:f>
      </x:c>
      <x:c r="S352" s="224" t="str">
        <x:f>IF($E352="","",IFERROR(VLOOKUP($E352,'Data'!$A$2:$B$114,2,FALSE),""))</x:f>
      </x:c>
      <x:c r="T352" s="217" t="str">
        <x:f>IF($K352="","",VLOOKUP($K352,'Data'!$I$2:$L$6,2,TRUE))</x:f>
      </x:c>
      <x:c r="U352" s="217"/>
      <x:c r="V352" s="221" t="str">
        <x:f>IF($L352="","",$J352*$L352)</x:f>
      </x:c>
      <x:c r="W352" s="221" t="str">
        <x:f>IF($V352="","",$J352+$V352)</x:f>
      </x:c>
      <x:c r="X352" s="217" t="str">
        <x:f>IF($Y352="Ready","Review and inform supplier","")</x:f>
      </x:c>
      <x:c r="Y352" s="217" t="str">
        <x:f>IF(AND($B352="",$E352="",$I352=""),"",IF($B352="","Missing Assignment Number",IF($E352="","Select Job Title",IF($I352="","Enter Pay Rate",IF($S352="","Job Title not found","Ready")))))</x:f>
      </x:c>
    </x:row>
    <x:row r="353" ht="22" customHeight="1">
      <x:c r="A353" s="205"/>
      <x:c r="B353" s="205"/>
      <x:c r="C353" s="206"/>
      <x:c r="D353" s="205"/>
      <x:c r="E353" s="207"/>
      <x:c r="F353" s="208"/>
      <x:c r="G353" s="209" t="str">
        <x:f>IF($S353="","",IFERROR(VLOOKUP($S353,'Data'!$D$2:$G$14,3,FALSE),""))</x:f>
      </x:c>
      <x:c r="H353" s="210" t="str">
        <x:f>IF($G353="","",$G353/'Data'!$O$2/'Data'!$O$3)</x:f>
      </x:c>
      <x:c r="I353" s="211"/>
      <x:c r="J353" s="209" t="str">
        <x:f>IF(OR($E353="",$I353=""),"",$I353*'Data'!$O$2*'Data'!$O$3)</x:f>
      </x:c>
      <x:c r="K353" s="212" t="str">
        <x:f>IF(OR($J353="",$G353=""),"",$J353/$G353)</x:f>
      </x:c>
      <x:c r="L353" s="213" t="str">
        <x:f>IF($K353="","",VLOOKUP($K353,'Data'!$I$2:$L$6,3,TRUE))</x:f>
      </x:c>
      <x:c r="M353" s="210" t="str">
        <x:f>IF($L353="","",$I353*$L353)</x:f>
      </x:c>
      <x:c r="N353" s="214" t="str">
        <x:f>IF($M353="","",ROUNDDOWN($I353+$M353,2))</x:f>
      </x:c>
      <x:c r="O353" s="210" t="str">
        <x:f>IF($N353="","",ROUNDDOWN(ROUNDDOWN($N353,2)*$R353,3))</x:f>
      </x:c>
      <x:c r="P353" s="215"/>
      <x:c r="Q353" s="222" t="str">
        <x:f>IF($E353="","",IF(OR(RIGHT(UPPER(TRIM(SUBSTITUTE(CLEAN($E353),CHAR(160)," "))),2)="P1",RIGHT(UPPER(TRIM(SUBSTITUTE(CLEAN($E353),CHAR(160)," "))),2)="P2",RIGHT(UPPER(TRIM(SUBSTITUTE(CLEAN($E353),CHAR(160)," "))),2)="P3",RIGHT(UPPER(TRIM(SUBSTITUTE(CLEAN($E353),CHAR(160)," "))),2)="P4",ISNUMBER(SEARCH("INDUSTRIAL HYGIENIST 1 ENVIRONMENT",UPPER(TRIM(SUBSTITUTE(CLEAN($E353),CHAR(160)," ")))))),"PS","GS"))</x:f>
      </x:c>
      <x:c r="R353" s="223" t="str">
        <x:f>IF($Q353="","",IF($Q353="PS",'Data'!$O$5,'Data'!$O$4))</x:f>
      </x:c>
      <x:c r="S353" s="224" t="str">
        <x:f>IF($E353="","",IFERROR(VLOOKUP($E353,'Data'!$A$2:$B$114,2,FALSE),""))</x:f>
      </x:c>
      <x:c r="T353" s="217" t="str">
        <x:f>IF($K353="","",VLOOKUP($K353,'Data'!$I$2:$L$6,2,TRUE))</x:f>
      </x:c>
      <x:c r="U353" s="217"/>
      <x:c r="V353" s="221" t="str">
        <x:f>IF($L353="","",$J353*$L353)</x:f>
      </x:c>
      <x:c r="W353" s="221" t="str">
        <x:f>IF($V353="","",$J353+$V353)</x:f>
      </x:c>
      <x:c r="X353" s="217" t="str">
        <x:f>IF($Y353="Ready","Review and inform supplier","")</x:f>
      </x:c>
      <x:c r="Y353" s="217" t="str">
        <x:f>IF(AND($B353="",$E353="",$I353=""),"",IF($B353="","Missing Assignment Number",IF($E353="","Select Job Title",IF($I353="","Enter Pay Rate",IF($S353="","Job Title not found","Ready")))))</x:f>
      </x:c>
    </x:row>
    <x:row r="354" ht="22" customHeight="1">
      <x:c r="A354" s="205"/>
      <x:c r="B354" s="205"/>
      <x:c r="C354" s="206"/>
      <x:c r="D354" s="205"/>
      <x:c r="E354" s="207"/>
      <x:c r="F354" s="208"/>
      <x:c r="G354" s="209" t="str">
        <x:f>IF($S354="","",IFERROR(VLOOKUP($S354,'Data'!$D$2:$G$14,3,FALSE),""))</x:f>
      </x:c>
      <x:c r="H354" s="210" t="str">
        <x:f>IF($G354="","",$G354/'Data'!$O$2/'Data'!$O$3)</x:f>
      </x:c>
      <x:c r="I354" s="211"/>
      <x:c r="J354" s="209" t="str">
        <x:f>IF(OR($E354="",$I354=""),"",$I354*'Data'!$O$2*'Data'!$O$3)</x:f>
      </x:c>
      <x:c r="K354" s="212" t="str">
        <x:f>IF(OR($J354="",$G354=""),"",$J354/$G354)</x:f>
      </x:c>
      <x:c r="L354" s="213" t="str">
        <x:f>IF($K354="","",VLOOKUP($K354,'Data'!$I$2:$L$6,3,TRUE))</x:f>
      </x:c>
      <x:c r="M354" s="210" t="str">
        <x:f>IF($L354="","",$I354*$L354)</x:f>
      </x:c>
      <x:c r="N354" s="214" t="str">
        <x:f>IF($M354="","",ROUNDDOWN($I354+$M354,2))</x:f>
      </x:c>
      <x:c r="O354" s="210" t="str">
        <x:f>IF($N354="","",ROUNDDOWN(ROUNDDOWN($N354,2)*$R354,3))</x:f>
      </x:c>
      <x:c r="P354" s="215"/>
      <x:c r="Q354" s="225" t="str">
        <x:f>IF($E354="","",IF(OR(RIGHT(UPPER(TRIM(SUBSTITUTE(CLEAN($E354),CHAR(160)," "))),2)="P1",RIGHT(UPPER(TRIM(SUBSTITUTE(CLEAN($E354),CHAR(160)," "))),2)="P2",RIGHT(UPPER(TRIM(SUBSTITUTE(CLEAN($E354),CHAR(160)," "))),2)="P3",RIGHT(UPPER(TRIM(SUBSTITUTE(CLEAN($E354),CHAR(160)," "))),2)="P4",ISNUMBER(SEARCH("INDUSTRIAL HYGIENIST 1 ENVIRONMENT",UPPER(TRIM(SUBSTITUTE(CLEAN($E354),CHAR(160)," ")))))),"PS","GS"))</x:f>
      </x:c>
      <x:c r="R354" s="226" t="str">
        <x:f>IF($Q354="","",IF($Q354="PS",'Data'!$O$5,'Data'!$O$4))</x:f>
      </x:c>
      <x:c r="S354" s="227" t="str">
        <x:f>IF($E354="","",IFERROR(VLOOKUP($E354,'Data'!$A$2:$B$114,2,FALSE),""))</x:f>
      </x:c>
      <x:c r="T354" s="217" t="str">
        <x:f>IF($K354="","",VLOOKUP($K354,'Data'!$I$2:$L$6,2,TRUE))</x:f>
      </x:c>
      <x:c r="U354" s="217"/>
      <x:c r="V354" s="221" t="str">
        <x:f>IF($L354="","",$J354*$L354)</x:f>
      </x:c>
      <x:c r="W354" s="221" t="str">
        <x:f>IF($V354="","",$J354+$V354)</x:f>
      </x:c>
      <x:c r="X354" s="217" t="str">
        <x:f>IF($Y354="Ready","Review and inform supplier","")</x:f>
      </x:c>
      <x:c r="Y354" s="217" t="str">
        <x:f>IF(AND($B354="",$E354="",$I354=""),"",IF($B354="","Missing Assignment Number",IF($E354="","Select Job Title",IF($I354="","Enter Pay Rate",IF($S354="","Job Title not found","Ready")))))</x:f>
      </x:c>
    </x:row>
  </x:sheetData>
  <x:mergeCells>
    <x:mergeCell ref="A1:P1"/>
    <x:mergeCell ref="A2:P2"/>
  </x:mergeCells>
  <x:conditionalFormatting sqref="S5:S354">
    <x:cfRule type="containsText" dxfId="0" priority="1" operator="containsText" text="Ready"/>
    <x:cfRule type="containsText" dxfId="1" priority="2" operator="containsText" text="Missing"/>
    <x:cfRule type="containsText" dxfId="2" priority="3" operator="containsText" text="Enter"/>
    <x:cfRule type="containsText" dxfId="3" priority="4" operator="containsText" text="Select"/>
  </x:conditionalFormatting>
  <x:dataValidations count="2">
    <x:dataValidation type="list" allowBlank="1" showDropDown="0" sqref="E5:E354">
      <x:formula1>$U$2:$U$114</x:formula1>
    </x:dataValidation>
    <x:dataValidation type="decimal" operator="greaterThan" allowBlank="1" sqref="I5:I354">
      <x:formula1>0</x:formula1>
    </x:dataValidation>
  </x:dataValidations>
  <x:pageMargins left="0.7" right="0.7" top="0.75" bottom="0.75" header="0.3" footer="0.3"/>
  <x:tableParts count="1">
    <x:tablePart xmlns:r="http://schemas.openxmlformats.org/officeDocument/2006/relationships" r:id="Rb164b448fa5841b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72" hidden="0" customWidth="1"/>
    <x:col min="2" max="2" width="12" hidden="0" customWidth="1"/>
    <x:col min="4" max="4" width="14" hidden="0" customWidth="1"/>
    <x:col min="5" max="5" width="14" hidden="0" customWidth="1"/>
    <x:col min="6" max="6" width="14" hidden="0" customWidth="1"/>
    <x:col min="7" max="7" width="14" hidden="0" customWidth="1"/>
    <x:col min="9" max="9" width="12" hidden="0" customWidth="1"/>
    <x:col min="10" max="10" width="24" hidden="0" customWidth="1"/>
    <x:col min="11" max="11" width="13" hidden="0" customWidth="1"/>
    <x:col min="12" max="12" width="13" hidden="0" customWidth="1"/>
    <x:col min="14" max="14" width="24" hidden="0" customWidth="1"/>
    <x:col min="15" max="15" width="12" hidden="0" customWidth="1"/>
  </x:cols>
  <x:sheetData>
    <x:row r="1">
      <x:c r="A1" s="88" t="str">
        <x:v>Job Title</x:v>
      </x:c>
      <x:c r="B1" s="88" t="str">
        <x:v>Salary Scale</x:v>
      </x:c>
      <x:c r="D1" s="88" t="str">
        <x:v>Scale</x:v>
      </x:c>
      <x:c r="E1" s="88" t="str">
        <x:v>Minimum</x:v>
      </x:c>
      <x:c r="F1" s="88" t="str">
        <x:v>Midpoint</x:v>
      </x:c>
      <x:c r="G1" s="88" t="str">
        <x:v>Maximum</x:v>
      </x:c>
      <x:c r="I1" s="88" t="str">
        <x:v>PIR from</x:v>
      </x:c>
      <x:c r="J1" s="88" t="str">
        <x:v>Range Band</x:v>
      </x:c>
      <x:c r="K1" s="88" t="str">
        <x:v>Merit 2026</x:v>
      </x:c>
      <x:c r="L1" s="88" t="str">
        <x:v>Merit 2027</x:v>
      </x:c>
      <x:c r="N1" s="88" t="str">
        <x:v>Assumption</x:v>
      </x:c>
      <x:c r="O1" s="88" t="str">
        <x:v>Value</x:v>
      </x:c>
    </x:row>
    <x:row r="2">
      <x:c r="A2" s="90" t="str">
        <x:v>Accountant - II - Finance &amp; Legal (B Support / Professional) - P2</x:v>
      </x:c>
      <x:c r="B2" s="90" t="str">
        <x:v>H</x:v>
      </x:c>
      <x:c r="D2" t="str">
        <x:v>A</x:v>
      </x:c>
      <x:c r="E2" s="93" t="n">
        <x:v>24300</x:v>
      </x:c>
      <x:c r="F2" s="93" t="n">
        <x:v>33600</x:v>
      </x:c>
      <x:c r="G2" s="93" t="n">
        <x:v>42300</x:v>
      </x:c>
      <x:c r="I2" s="94" t="n">
        <x:v>0</x:v>
      </x:c>
      <x:c r="J2" t="str">
        <x:v>Onder het minimum</x:v>
      </x:c>
      <x:c r="K2" s="95" t="n">
        <x:v>0.048</x:v>
      </x:c>
      <x:c r="L2" s="95" t="n">
        <x:v>0.0495</x:v>
      </x:c>
      <x:c r="N2" t="str">
        <x:v>Month factor</x:v>
      </x:c>
      <x:c r="O2" s="96" t="n">
        <x:v>13.32</x:v>
      </x:c>
    </x:row>
    <x:row r="3">
      <x:c r="A3" s="91" t="str">
        <x:v>Accountant - III - Finance &amp; Legal (B Support / Professional) - P3</x:v>
      </x:c>
      <x:c r="B3" s="91" t="str">
        <x:v>J</x:v>
      </x:c>
      <x:c r="D3" t="str">
        <x:v>B</x:v>
      </x:c>
      <x:c r="E3" s="93" t="n">
        <x:v>31400</x:v>
      </x:c>
      <x:c r="F3" s="93" t="n">
        <x:v>42400</x:v>
      </x:c>
      <x:c r="G3" s="93" t="n">
        <x:v>53400</x:v>
      </x:c>
      <x:c r="I3" s="94" t="n">
        <x:v>0.741</x:v>
      </x:c>
      <x:c r="J3" t="str">
        <x:v>1e derde deel</x:v>
      </x:c>
      <x:c r="K3" s="95" t="n">
        <x:v>0.04</x:v>
      </x:c>
      <x:c r="L3" s="95" t="n">
        <x:v>0.041299999999999996</x:v>
      </x:c>
      <x:c r="N3" t="str">
        <x:v>Hour factor</x:v>
      </x:c>
      <x:c r="O3" s="96" t="n">
        <x:v>173.93</x:v>
      </x:c>
    </x:row>
    <x:row r="4">
      <x:c r="A4" s="91" t="str">
        <x:v>Administrative Assistant - II - Business Support (A) Admin/Finance/HR - B2</x:v>
      </x:c>
      <x:c r="B4" s="91" t="str">
        <x:v>C</x:v>
      </x:c>
      <x:c r="D4" t="str">
        <x:v>C</x:v>
      </x:c>
      <x:c r="E4" s="93" t="n">
        <x:v>34400</x:v>
      </x:c>
      <x:c r="F4" s="93" t="n">
        <x:v>46500</x:v>
      </x:c>
      <x:c r="G4" s="93" t="n">
        <x:v>58600</x:v>
      </x:c>
      <x:c r="I4" s="94" t="n">
        <x:v>0.914</x:v>
      </x:c>
      <x:c r="J4" t="str">
        <x:v>2e derde deel</x:v>
      </x:c>
      <x:c r="K4" s="95" t="n">
        <x:v>0.032</x:v>
      </x:c>
      <x:c r="L4" s="95" t="n">
        <x:v>0.033</x:v>
      </x:c>
      <x:c r="N4" t="str">
        <x:v>GS markup factor</x:v>
      </x:c>
      <x:c r="O4" s="96" t="n">
        <x:v>2.45</x:v>
      </x:c>
    </x:row>
    <x:row r="5">
      <x:c r="A5" s="91" t="str">
        <x:v>Administrative Assistant - III - Business Support (A) Admin/Finance/HR - B3</x:v>
      </x:c>
      <x:c r="B5" s="91" t="str">
        <x:v>D</x:v>
      </x:c>
      <x:c r="D5" t="str">
        <x:v>D</x:v>
      </x:c>
      <x:c r="E5" s="93" t="n">
        <x:v>37800</x:v>
      </x:c>
      <x:c r="F5" s="93" t="n">
        <x:v>51100</x:v>
      </x:c>
      <x:c r="G5" s="93" t="n">
        <x:v>64400</x:v>
      </x:c>
      <x:c r="I5" s="94" t="n">
        <x:v>1.086</x:v>
      </x:c>
      <x:c r="J5" t="str">
        <x:v>3e derde deel</x:v>
      </x:c>
      <x:c r="K5" s="95" t="n">
        <x:v>0.022400000000000003</x:v>
      </x:c>
      <x:c r="L5" s="95" t="n">
        <x:v>0.0231</x:v>
      </x:c>
      <x:c r="N5" t="str">
        <x:v>PS markup factor</x:v>
      </x:c>
      <x:c r="O5" s="96" t="n">
        <x:v>2.55</x:v>
      </x:c>
    </x:row>
    <x:row r="6">
      <x:c r="A6" s="91" t="str">
        <x:v>Analytical Chemist - I - LAB (B Support / Research) - R1</x:v>
      </x:c>
      <x:c r="B6" s="91" t="str">
        <x:v>E</x:v>
      </x:c>
      <x:c r="D6" t="str">
        <x:v>E</x:v>
      </x:c>
      <x:c r="E6" s="93" t="n">
        <x:v>41600</x:v>
      </x:c>
      <x:c r="F6" s="93" t="n">
        <x:v>56100</x:v>
      </x:c>
      <x:c r="G6" s="93" t="n">
        <x:v>70600</x:v>
      </x:c>
      <x:c r="I6" s="94" t="n">
        <x:v>1.259</x:v>
      </x:c>
      <x:c r="J6" t="str">
        <x:v>Boven het maximum</x:v>
      </x:c>
      <x:c r="K6" s="95" t="n">
        <x:v>0.016</x:v>
      </x:c>
      <x:c r="L6" s="95" t="n">
        <x:v>0.0165</x:v>
      </x:c>
    </x:row>
    <x:row r="7">
      <x:c r="A7" s="91" t="str">
        <x:v>Assembler - II - Production &amp; Operations Support (T): Industrial - O2 (Low)</x:v>
      </x:c>
      <x:c r="B7" s="91" t="str">
        <x:v>B</x:v>
      </x:c>
      <x:c r="D7" t="str">
        <x:v>F</x:v>
      </x:c>
      <x:c r="E7" s="93" t="n">
        <x:v>45800</x:v>
      </x:c>
      <x:c r="F7" s="93" t="n">
        <x:v>61800</x:v>
      </x:c>
      <x:c r="G7" s="93" t="n">
        <x:v>77800</x:v>
      </x:c>
    </x:row>
    <x:row r="8">
      <x:c r="A8" s="91" t="str">
        <x:v>Automation Engineer - III - Engineering (P &amp; O Support / Professional) - P3</x:v>
      </x:c>
      <x:c r="B8" s="91" t="str">
        <x:v>J</x:v>
      </x:c>
      <x:c r="D8" t="str">
        <x:v>G</x:v>
      </x:c>
      <x:c r="E8" s="93" t="n">
        <x:v>50200</x:v>
      </x:c>
      <x:c r="F8" s="93" t="n">
        <x:v>67800</x:v>
      </x:c>
      <x:c r="G8" s="93" t="n">
        <x:v>85400</x:v>
      </x:c>
    </x:row>
    <x:row r="9">
      <x:c r="A9" s="91" t="str">
        <x:v>Biochemical Operator – ll - Production &amp; Operations Support (T): Industrial – O2 (Mid)</x:v>
      </x:c>
      <x:c r="B9" s="91" t="str">
        <x:v>C</x:v>
      </x:c>
      <x:c r="D9" t="str">
        <x:v>H</x:v>
      </x:c>
      <x:c r="E9" s="93" t="n">
        <x:v>55200</x:v>
      </x:c>
      <x:c r="F9" s="93" t="n">
        <x:v>74600</x:v>
      </x:c>
      <x:c r="G9" s="93" t="n">
        <x:v>93900</x:v>
      </x:c>
    </x:row>
    <x:row r="10">
      <x:c r="A10" s="91" t="str">
        <x:v>Biochemist - I - LAB (B Support / Research) - R1</x:v>
      </x:c>
      <x:c r="B10" s="91" t="str">
        <x:v>E</x:v>
      </x:c>
      <x:c r="D10" t="str">
        <x:v>I</x:v>
      </x:c>
      <x:c r="E10" s="93" t="n">
        <x:v>60700</x:v>
      </x:c>
      <x:c r="F10" s="93" t="n">
        <x:v>81900</x:v>
      </x:c>
      <x:c r="G10" s="93" t="n">
        <x:v>103200</x:v>
      </x:c>
    </x:row>
    <x:row r="11">
      <x:c r="A11" s="91" t="str">
        <x:v>Biologist - I - LAB (B Support / Research) - R1</x:v>
      </x:c>
      <x:c r="B11" s="91" t="str">
        <x:v>E</x:v>
      </x:c>
      <x:c r="D11" t="str">
        <x:v>J</x:v>
      </x:c>
      <x:c r="E11" s="93" t="n">
        <x:v>66800</x:v>
      </x:c>
      <x:c r="F11" s="93" t="n">
        <x:v>90200</x:v>
      </x:c>
      <x:c r="G11" s="93" t="n">
        <x:v>113600</x:v>
      </x:c>
    </x:row>
    <x:row r="12">
      <x:c r="A12" s="91" t="str">
        <x:v>Business Analyst - II - Information Communications Technology (B Support / Professional) - P2</x:v>
      </x:c>
      <x:c r="B12" s="91" t="str">
        <x:v>H</x:v>
      </x:c>
      <x:c r="D12" t="str">
        <x:v>K</x:v>
      </x:c>
      <x:c r="E12" s="93" t="n">
        <x:v>73400</x:v>
      </x:c>
      <x:c r="F12" s="93" t="n">
        <x:v>99000</x:v>
      </x:c>
      <x:c r="G12" s="93" t="n">
        <x:v>124700</x:v>
      </x:c>
    </x:row>
    <x:row r="13">
      <x:c r="A13" s="91" t="str">
        <x:v>Business Analyst - III - Information Communications Technology (B Support / Professional) - P3</x:v>
      </x:c>
      <x:c r="B13" s="91" t="str">
        <x:v>J</x:v>
      </x:c>
      <x:c r="D13" t="str">
        <x:v>L</x:v>
      </x:c>
      <x:c r="E13" s="93" t="n">
        <x:v>80800</x:v>
      </x:c>
      <x:c r="F13" s="93" t="n">
        <x:v>109000</x:v>
      </x:c>
      <x:c r="G13" s="93" t="n">
        <x:v>137300</x:v>
      </x:c>
    </x:row>
    <x:row r="14">
      <x:c r="A14" s="91" t="str">
        <x:v>Business Analyst - IV - Information Communications Technology (B Support / Professional) - P4</x:v>
      </x:c>
      <x:c r="B14" s="91" t="str">
        <x:v>L</x:v>
      </x:c>
      <x:c r="D14" t="str">
        <x:v>M</x:v>
      </x:c>
      <x:c r="E14" s="93" t="n">
        <x:v>88800</x:v>
      </x:c>
      <x:c r="F14" s="93" t="n">
        <x:v>119900</x:v>
      </x:c>
      <x:c r="G14" s="93" t="n">
        <x:v>150900</x:v>
      </x:c>
    </x:row>
    <x:row r="15">
      <x:c r="A15" s="91" t="str">
        <x:v>Business Consultant - IV - Information Communications Technology (B Support / Professional) - P4</x:v>
      </x:c>
      <x:c r="B15" s="91" t="str">
        <x:v>L</x:v>
      </x:c>
    </x:row>
    <x:row r="16">
      <x:c r="A16" s="91" t="str">
        <x:v>Chemical Engineer - III - Engineering (P &amp; O Support / Professional) - P3</x:v>
      </x:c>
      <x:c r="B16" s="91" t="str">
        <x:v>J</x:v>
      </x:c>
    </x:row>
    <x:row r="17">
      <x:c r="A17" s="91" t="str">
        <x:v>Civil Engineer - II - Engineering (P &amp; O Support / Professional) - P2</x:v>
      </x:c>
      <x:c r="B17" s="91" t="str">
        <x:v>H</x:v>
      </x:c>
    </x:row>
    <x:row r="18">
      <x:c r="A18" s="91" t="str">
        <x:v>Civil Engineer - III - Engineering (P &amp; O Support / Professional) - P3</x:v>
      </x:c>
      <x:c r="B18" s="91" t="str">
        <x:v>J</x:v>
      </x:c>
    </x:row>
    <x:row r="19">
      <x:c r="A19" s="91" t="str">
        <x:v>Compliance Specialist - I - Administrative (B Support / Professional) - P1</x:v>
      </x:c>
      <x:c r="B19" s="91" t="str">
        <x:v>F</x:v>
      </x:c>
    </x:row>
    <x:row r="20">
      <x:c r="A20" s="91" t="str">
        <x:v>Data Analyst - II - Information Communications Technology (B Support / Professional) - P2</x:v>
      </x:c>
      <x:c r="B20" s="91" t="str">
        <x:v>H</x:v>
      </x:c>
    </x:row>
    <x:row r="21">
      <x:c r="A21" s="91" t="str">
        <x:v>Data Entry Clerk - III - Business Support (A) Admin/Finance/HR - B3</x:v>
      </x:c>
      <x:c r="B21" s="91" t="str">
        <x:v>D</x:v>
      </x:c>
    </x:row>
    <x:row r="22">
      <x:c r="A22" s="91" t="str">
        <x:v>Documentation Specialist - I - Administrative (B Support / Professional) - P1</x:v>
      </x:c>
      <x:c r="B22" s="91" t="str">
        <x:v>F</x:v>
      </x:c>
    </x:row>
    <x:row r="23">
      <x:c r="A23" s="91" t="str">
        <x:v>Documentation Specialist - III - Administrative (B Support / Professional) - B3</x:v>
      </x:c>
      <x:c r="B23" s="91" t="str">
        <x:v>D</x:v>
      </x:c>
    </x:row>
    <x:row r="24">
      <x:c r="A24" s="91" t="str">
        <x:v>Electrical Engineer - I - Engineering (P &amp; O Support / Professional) - P1</x:v>
      </x:c>
      <x:c r="B24" s="91" t="str">
        <x:v>F</x:v>
      </x:c>
    </x:row>
    <x:row r="25">
      <x:c r="A25" s="91" t="str">
        <x:v>Electrical Engineer - III - Engineering (P &amp; O Support / Professional) - P3</x:v>
      </x:c>
      <x:c r="B25" s="91" t="str">
        <x:v>J</x:v>
      </x:c>
    </x:row>
    <x:row r="26">
      <x:c r="A26" s="91" t="str">
        <x:v>Environmental Monitoring Specialist II - Environment Health &amp; Safety P&amp;O Support / Professional P2</x:v>
      </x:c>
      <x:c r="B26" s="91" t="str">
        <x:v>H</x:v>
      </x:c>
    </x:row>
    <x:row r="27">
      <x:c r="A27" s="91" t="str">
        <x:v>Executive Assistant - II - Business Support (A) Admin/Finance/HR - B2</x:v>
      </x:c>
      <x:c r="B27" s="91" t="str">
        <x:v>C</x:v>
      </x:c>
    </x:row>
    <x:row r="28">
      <x:c r="A28" s="91" t="str">
        <x:v>Health/Safety Specialist - II - Environment Health &amp; Safety (P &amp; O Support / Professional) - P2</x:v>
      </x:c>
      <x:c r="B28" s="91" t="str">
        <x:v>H</x:v>
      </x:c>
    </x:row>
    <x:row r="29">
      <x:c r="A29" s="91" t="str">
        <x:v>Health/Safety Specialist - III - Environment Health &amp; Safety (P &amp; O Support / Professional) - P3</x:v>
      </x:c>
      <x:c r="B29" s="91" t="str">
        <x:v>J</x:v>
      </x:c>
    </x:row>
    <x:row r="30">
      <x:c r="A30" s="91" t="str">
        <x:v>Health/Safety Specialist - IV - Environment Health &amp; Safety (P &amp; O Support / Professional) - P4</x:v>
      </x:c>
      <x:c r="B30" s="91" t="str">
        <x:v>M</x:v>
      </x:c>
    </x:row>
    <x:row r="31">
      <x:c r="A31" s="91" t="str">
        <x:v>HR Analyst - I - Human Resources (B Support / Professional) - P1</x:v>
      </x:c>
      <x:c r="B31" s="91" t="str">
        <x:v>F</x:v>
      </x:c>
    </x:row>
    <x:row r="32">
      <x:c r="A32" s="91" t="str">
        <x:v>HR Analyst - II - Human Resources (B Support / Professional) - P2</x:v>
      </x:c>
      <x:c r="B32" s="91" t="str">
        <x:v>H</x:v>
      </x:c>
    </x:row>
    <x:row r="33">
      <x:c r="A33" s="91" t="str">
        <x:v>Industrial Hygienist - I - Environment Health  &amp; Safety P&amp;O Support / Professional - P1</x:v>
      </x:c>
      <x:c r="B33" s="91" t="str">
        <x:v>G</x:v>
      </x:c>
    </x:row>
    <x:row r="34">
      <x:c r="A34" s="91" t="str">
        <x:v>Industrial Hygienist - II - Environment  Health &amp; Safety P&amp;O Support / Professional - P2</x:v>
      </x:c>
      <x:c r="B34" s="91" t="str">
        <x:v>H</x:v>
      </x:c>
    </x:row>
    <x:row r="35">
      <x:c r="A35" s="91" t="str">
        <x:v>Inspector Operator - III - Industrial (P &amp; O Support / Professional) - O3</x:v>
      </x:c>
      <x:c r="B35" s="91" t="str">
        <x:v>E</x:v>
      </x:c>
    </x:row>
    <x:row r="36">
      <x:c r="A36" s="91" t="str">
        <x:v>Lab Assistant - III - Business Support (T) Science/Medical/Clinical - B3</x:v>
      </x:c>
      <x:c r="B36" s="91" t="str">
        <x:v>D</x:v>
      </x:c>
    </x:row>
    <x:row r="37">
      <x:c r="A37" s="91" t="str">
        <x:v>Lab Technician - Animal - II - Production &amp; Operations Support (T) Science/Medical/Clinical - O2 (Mi</x:v>
      </x:c>
      <x:c r="B37" s="91" t="str">
        <x:v>C</x:v>
      </x:c>
    </x:row>
    <x:row r="38">
      <x:c r="A38" s="91" t="str">
        <x:v>Lab Technician - II - Production &amp; Operations Support (T) Science/Medical/Clinical - O2 (High)</x:v>
      </x:c>
      <x:c r="B38" s="91" t="str">
        <x:v>D</x:v>
      </x:c>
    </x:row>
    <x:row r="39">
      <x:c r="A39" s="91" t="str">
        <x:v>Lab Technician - II - Production &amp; Operations Support (T) Science/Medical/Clinical - O2 (Mid)</x:v>
      </x:c>
      <x:c r="B39" s="91" t="str">
        <x:v>C</x:v>
      </x:c>
    </x:row>
    <x:row r="40">
      <x:c r="A40" s="91" t="str">
        <x:v>Lab Technician - III - Production &amp; Operations Support (T) Science/Medical/Clinical - O3</x:v>
      </x:c>
      <x:c r="B40" s="91" t="str">
        <x:v>D</x:v>
      </x:c>
    </x:row>
    <x:row r="41">
      <x:c r="A41" s="91" t="str">
        <x:v>Maintenance Technician - II - Production &amp; Operations Support (T): Industrial - O2 (High)</x:v>
      </x:c>
      <x:c r="B41" s="91" t="str">
        <x:v>D</x:v>
      </x:c>
    </x:row>
    <x:row r="42">
      <x:c r="A42" s="91" t="str">
        <x:v>Maintenance Technician - II - Production &amp; Operations Support (T): Industrial O2 High – PS</x:v>
      </x:c>
      <x:c r="B42" s="91" t="str">
        <x:v>D</x:v>
      </x:c>
    </x:row>
    <x:row r="43">
      <x:c r="A43" s="91" t="str">
        <x:v>Maintenance Technician - II - Production &amp; Operations Support (T): Industrial O3 – PS</x:v>
      </x:c>
      <x:c r="B43" s="91" t="str">
        <x:v>E</x:v>
      </x:c>
    </x:row>
    <x:row r="44">
      <x:c r="A44" s="91" t="str">
        <x:v>Maintenance Technician - II - Production &amp; Operations Support (T): Industrial O4 – PS</x:v>
      </x:c>
      <x:c r="B44" s="91" t="str">
        <x:v>F</x:v>
      </x:c>
    </x:row>
    <x:row r="45">
      <x:c r="A45" s="91" t="str">
        <x:v>Maintenance Technician - IV - Production &amp; Operations Support (T): Industrial - O4</x:v>
      </x:c>
      <x:c r="B45" s="91" t="str">
        <x:v>F</x:v>
      </x:c>
    </x:row>
    <x:row r="46">
      <x:c r="A46" s="91" t="str">
        <x:v>Marketing Research Specialist - II - Creative (B Support / Professional) - P2</x:v>
      </x:c>
      <x:c r="B46" s="91" t="str">
        <x:v>H</x:v>
      </x:c>
    </x:row>
    <x:row r="47">
      <x:c r="A47" s="91" t="str">
        <x:v>Mechanical Engineer - II - Engineering (P &amp; O Support / Professional) - P2</x:v>
      </x:c>
      <x:c r="B47" s="91" t="str">
        <x:v>H</x:v>
      </x:c>
    </x:row>
    <x:row r="48">
      <x:c r="A48" s="91" t="str">
        <x:v>Mechanical Engineer - III - Engineering (P &amp; O Support / Professional) - P3</x:v>
      </x:c>
      <x:c r="B48" s="91" t="str">
        <x:v>J</x:v>
      </x:c>
    </x:row>
    <x:row r="49">
      <x:c r="A49" s="91" t="str">
        <x:v>Operations Manager - I - Industrial (P &amp; O Support / Professional) - P1</x:v>
      </x:c>
      <x:c r="B49" s="91" t="str">
        <x:v>G</x:v>
      </x:c>
    </x:row>
    <x:row r="50">
      <x:c r="A50" s="91" t="str">
        <x:v>Operations Manager - II - Industrial (P &amp; O Support / Professional) - P2</x:v>
      </x:c>
      <x:c r="B50" s="91" t="str">
        <x:v>H</x:v>
      </x:c>
    </x:row>
    <x:row r="51">
      <x:c r="A51" s="91" t="str">
        <x:v>Operations Manager - IV - Industrial (P &amp; O Support / Professional) - P4</x:v>
      </x:c>
      <x:c r="B51" s="91" t="str">
        <x:v>L</x:v>
      </x:c>
    </x:row>
    <x:row r="52">
      <x:c r="A52" s="91" t="str">
        <x:v>Packaging Engineer - II - Industrial (P &amp; O Support / Professional) - P2</x:v>
      </x:c>
      <x:c r="B52" s="91" t="str">
        <x:v>H</x:v>
      </x:c>
    </x:row>
    <x:row r="53">
      <x:c r="A53" s="91" t="str">
        <x:v>Packaging Operator - I - Production &amp; Operations Support (T): Industrial - O1</x:v>
      </x:c>
      <x:c r="B53" s="91" t="str">
        <x:v>B</x:v>
      </x:c>
    </x:row>
    <x:row r="54">
      <x:c r="A54" s="91" t="str">
        <x:v>Packaging Operator - II - Production &amp; Operations Support (T): Industrial - O2 (Low)</x:v>
      </x:c>
      <x:c r="B54" s="91" t="str">
        <x:v>B</x:v>
      </x:c>
    </x:row>
    <x:row r="55">
      <x:c r="A55" s="91" t="str">
        <x:v>Packaging Operator - II - Production &amp; Operations Support (T): Industrial - O2 (Mid)</x:v>
      </x:c>
      <x:c r="B55" s="91" t="str">
        <x:v>C</x:v>
      </x:c>
    </x:row>
    <x:row r="56">
      <x:c r="A56" s="91" t="str">
        <x:v>Packaging Operator - III - Production &amp; Operations Support (T): Industrial - O3</x:v>
      </x:c>
      <x:c r="B56" s="91" t="str">
        <x:v>E</x:v>
      </x:c>
    </x:row>
    <x:row r="57">
      <x:c r="A57" s="91" t="str">
        <x:v>Pharmaceutical Specialist - I - Engineering (P &amp; O  Support / Professional) - P1</x:v>
      </x:c>
      <x:c r="B57" s="91" t="str">
        <x:v>F</x:v>
      </x:c>
    </x:row>
    <x:row r="58">
      <x:c r="A58" s="91" t="str">
        <x:v>Pharmaceutical Specialist - Ill - Engineering (P &amp; O  Support / Professional) - P3</x:v>
      </x:c>
      <x:c r="B58" s="91" t="str">
        <x:v>J</x:v>
      </x:c>
    </x:row>
    <x:row r="59">
      <x:c r="A59" s="91" t="str">
        <x:v>Process Engineer - II - Engineering (P &amp; O Support / Professional) - P2</x:v>
      </x:c>
      <x:c r="B59" s="91" t="str">
        <x:v>H</x:v>
      </x:c>
    </x:row>
    <x:row r="60">
      <x:c r="A60" s="91" t="str">
        <x:v>Process Engineer - III - Engineering (P &amp; O Support / Professional) - P3</x:v>
      </x:c>
      <x:c r="B60" s="91" t="str">
        <x:v>J</x:v>
      </x:c>
    </x:row>
    <x:row r="61">
      <x:c r="A61" s="91" t="str">
        <x:v>Process Engineer - IV - Engineering (P &amp; O Support / Professional) - P4</x:v>
      </x:c>
      <x:c r="B61" s="91" t="str">
        <x:v>L</x:v>
      </x:c>
    </x:row>
    <x:row r="62">
      <x:c r="A62" s="91" t="str">
        <x:v>Procurement Specialist - llI - Administrative (B Support /  Professional) - P3</x:v>
      </x:c>
      <x:c r="B62" s="91" t="str">
        <x:v>J</x:v>
      </x:c>
    </x:row>
    <x:row r="63">
      <x:c r="A63" s="91" t="str">
        <x:v>Production Operator - II - Production &amp; Operations Support (T): Industrial - O2 (High)</x:v>
      </x:c>
      <x:c r="B63" s="91" t="str">
        <x:v>D</x:v>
      </x:c>
    </x:row>
    <x:row r="64">
      <x:c r="A64" s="91" t="str">
        <x:v>Production Operator - II - Production &amp; Operations Support (T): Industrial - O2 (Mid)</x:v>
      </x:c>
      <x:c r="B64" s="91" t="str">
        <x:v>C</x:v>
      </x:c>
    </x:row>
    <x:row r="65">
      <x:c r="A65" s="91" t="str">
        <x:v>Production Tech - II - Production &amp; Operations Support (T): Industrial - O2 (High)</x:v>
      </x:c>
      <x:c r="B65" s="91" t="str">
        <x:v>D</x:v>
      </x:c>
    </x:row>
    <x:row r="66">
      <x:c r="A66" s="91" t="str">
        <x:v>Production Tech - II - Production &amp; Operations Support (T): Industrial - O2 (Mid)</x:v>
      </x:c>
      <x:c r="B66" s="91" t="str">
        <x:v>C</x:v>
      </x:c>
    </x:row>
    <x:row r="67">
      <x:c r="A67" s="91" t="str">
        <x:v>Project Coordinator - I - Administrative (B Support / Professional) - P1</x:v>
      </x:c>
      <x:c r="B67" s="91" t="str">
        <x:v>F</x:v>
      </x:c>
    </x:row>
    <x:row r="68">
      <x:c r="A68" s="91" t="str">
        <x:v>Project Coordinator - II - Administrative (B Support / Professional) - P2</x:v>
      </x:c>
      <x:c r="B68" s="91" t="str">
        <x:v>H</x:v>
      </x:c>
    </x:row>
    <x:row r="69">
      <x:c r="A69" s="91" t="str">
        <x:v>Project Manager - Il - Engineering (P &amp; O Support /  Professional) - P2</x:v>
      </x:c>
      <x:c r="B69" s="91" t="str">
        <x:v>H</x:v>
      </x:c>
    </x:row>
    <x:row r="70">
      <x:c r="A70" s="91" t="str">
        <x:v>Industrial Hygienist 1 Environment</x:v>
      </x:c>
      <x:c r="B70" s="91" t="str">
        <x:v>G</x:v>
      </x:c>
    </x:row>
    <x:row r="71">
      <x:c r="A71" s="91" t="str">
        <x:v>Industrial Hygienist 1 Environment Health &amp; Safety P&amp;O Support / Professional P1</x:v>
      </x:c>
      <x:c r="B71" s="91" t="str">
        <x:v>G</x:v>
      </x:c>
    </x:row>
    <x:row r="72">
      <x:c r="A72" s="91" t="str">
        <x:v>Industrial Hygienist 1 Environment Health &amp; Safety PO Support Professional P1</x:v>
      </x:c>
      <x:c r="B72" s="91" t="str">
        <x:v>G</x:v>
      </x:c>
    </x:row>
    <x:row r="73">
      <x:c r="A73" s="91" t="str">
        <x:v>Industrial Hygienist 1 Environment, Health and Safety, PO Support Professional P1</x:v>
      </x:c>
      <x:c r="B73" s="91" t="str">
        <x:v>G</x:v>
      </x:c>
    </x:row>
    <x:row r="74">
      <x:c r="A74" s="91" t="str">
        <x:v>Industrial Hygienist - 1 - Environment Health &amp; Safety P&amp;O Support / Professional - P1</x:v>
      </x:c>
      <x:c r="B74" s="91" t="str">
        <x:v>G</x:v>
      </x:c>
    </x:row>
    <x:row r="75">
      <x:c r="A75" s="91" t="str">
        <x:v>Industrial Hygienist - I - Environment Health &amp; Safety P&amp;O Support / Professional - P1</x:v>
      </x:c>
      <x:c r="B75" s="91" t="str">
        <x:v>G</x:v>
      </x:c>
    </x:row>
    <x:row r="76">
      <x:c r="A76" s="91"/>
      <x:c r="B76" s="91"/>
    </x:row>
    <x:row r="77">
      <x:c r="A77" s="91"/>
      <x:c r="B77" s="91"/>
    </x:row>
    <x:row r="78">
      <x:c r="A78" s="91"/>
      <x:c r="B78" s="91"/>
    </x:row>
    <x:row r="79">
      <x:c r="A79" s="91"/>
      <x:c r="B79" s="91"/>
    </x:row>
    <x:row r="80">
      <x:c r="A80" s="91"/>
      <x:c r="B80" s="91"/>
    </x:row>
    <x:row r="81">
      <x:c r="A81" s="91"/>
      <x:c r="B81" s="91"/>
    </x:row>
    <x:row r="82">
      <x:c r="A82" s="91"/>
      <x:c r="B82" s="91"/>
    </x:row>
    <x:row r="83">
      <x:c r="A83" s="91"/>
      <x:c r="B83" s="91"/>
    </x:row>
    <x:row r="84">
      <x:c r="A84" s="91"/>
      <x:c r="B84" s="91"/>
    </x:row>
    <x:row r="85">
      <x:c r="A85" s="91"/>
      <x:c r="B85" s="91"/>
    </x:row>
    <x:row r="86">
      <x:c r="A86" s="91"/>
      <x:c r="B86" s="91"/>
    </x:row>
    <x:row r="87">
      <x:c r="A87" s="91"/>
      <x:c r="B87" s="91"/>
    </x:row>
    <x:row r="88">
      <x:c r="A88" s="91"/>
      <x:c r="B88" s="91"/>
    </x:row>
    <x:row r="89">
      <x:c r="A89" s="91"/>
      <x:c r="B89" s="91"/>
    </x:row>
    <x:row r="90">
      <x:c r="A90" s="91"/>
      <x:c r="B90" s="91"/>
    </x:row>
    <x:row r="91">
      <x:c r="A91" s="91"/>
      <x:c r="B91" s="91"/>
    </x:row>
    <x:row r="92">
      <x:c r="A92" s="91"/>
      <x:c r="B92" s="91"/>
    </x:row>
    <x:row r="93">
      <x:c r="A93" s="91"/>
      <x:c r="B93" s="91"/>
    </x:row>
    <x:row r="94">
      <x:c r="A94" s="91"/>
      <x:c r="B94" s="91"/>
    </x:row>
    <x:row r="95">
      <x:c r="A95" s="91"/>
      <x:c r="B95" s="91"/>
    </x:row>
    <x:row r="96">
      <x:c r="A96" s="91"/>
      <x:c r="B96" s="91"/>
    </x:row>
    <x:row r="97">
      <x:c r="A97" s="91"/>
      <x:c r="B97" s="91"/>
    </x:row>
    <x:row r="98">
      <x:c r="A98" s="91"/>
      <x:c r="B98" s="91"/>
    </x:row>
    <x:row r="99">
      <x:c r="A99" s="91"/>
      <x:c r="B99" s="91"/>
    </x:row>
    <x:row r="100">
      <x:c r="A100" s="91"/>
      <x:c r="B100" s="91"/>
    </x:row>
    <x:row r="101">
      <x:c r="A101" s="91"/>
      <x:c r="B101" s="91"/>
    </x:row>
    <x:row r="102">
      <x:c r="A102" s="91"/>
      <x:c r="B102" s="91"/>
    </x:row>
    <x:row r="103">
      <x:c r="A103" s="91"/>
      <x:c r="B103" s="91"/>
    </x:row>
    <x:row r="104">
      <x:c r="A104" s="91"/>
      <x:c r="B104" s="91"/>
    </x:row>
    <x:row r="105">
      <x:c r="A105" s="91"/>
      <x:c r="B105" s="91"/>
    </x:row>
    <x:row r="106">
      <x:c r="A106" s="91"/>
      <x:c r="B106" s="91"/>
    </x:row>
    <x:row r="107">
      <x:c r="A107" s="91"/>
      <x:c r="B107" s="91"/>
    </x:row>
    <x:row r="108">
      <x:c r="A108" s="91"/>
      <x:c r="B108" s="91"/>
    </x:row>
    <x:row r="109">
      <x:c r="A109" s="91"/>
      <x:c r="B109" s="91"/>
    </x:row>
    <x:row r="110">
      <x:c r="A110" s="91"/>
      <x:c r="B110" s="91"/>
    </x:row>
    <x:row r="111">
      <x:c r="A111" s="91"/>
      <x:c r="B111" s="91"/>
    </x:row>
    <x:row r="112">
      <x:c r="A112" s="91"/>
      <x:c r="B112" s="91"/>
    </x:row>
    <x:row r="113">
      <x:c r="A113" s="92"/>
      <x:c r="B113" s="92"/>
    </x:row>
    <x:row r="114">
      <x:c r="A114" s="92"/>
      <x:c r="B114" s="92"/>
    </x:row>
  </x:sheetData>
  <x:pageMargins left="0.7" right="0.7" top="0.75" bottom="0.75" header="0.3" footer="0.3"/>
</x:worksheet>
</file>